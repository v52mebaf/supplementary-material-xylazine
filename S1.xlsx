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m/Desktop/Xylazine/"/>
    </mc:Choice>
  </mc:AlternateContent>
  <xr:revisionPtr revIDLastSave="0" documentId="13_ncr:1_{E9B82B36-D922-2941-84D5-8AC253D12715}" xr6:coauthVersionLast="47" xr6:coauthVersionMax="47" xr10:uidLastSave="{00000000-0000-0000-0000-000000000000}"/>
  <bookViews>
    <workbookView xWindow="34380" yWindow="1340" windowWidth="23260" windowHeight="12460" activeTab="1" xr2:uid="{96DBE28B-CAFC-4C59-8393-2074FA085F37}"/>
  </bookViews>
  <sheets>
    <sheet name="concentraciones xylacina" sheetId="1" r:id="rId1"/>
    <sheet name="concentraciones al mismo tiempo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2" l="1"/>
  <c r="L43" i="2"/>
  <c r="K43" i="2"/>
  <c r="J43" i="2"/>
  <c r="I43" i="2"/>
  <c r="H43" i="2"/>
  <c r="G43" i="2"/>
  <c r="F43" i="2"/>
  <c r="E43" i="2"/>
  <c r="D43" i="2"/>
  <c r="M42" i="2"/>
  <c r="L42" i="2"/>
  <c r="K42" i="2"/>
  <c r="J42" i="2"/>
  <c r="I42" i="2"/>
  <c r="H42" i="2"/>
  <c r="G42" i="2"/>
  <c r="F42" i="2"/>
  <c r="E42" i="2"/>
  <c r="D42" i="2"/>
  <c r="M40" i="2"/>
  <c r="L40" i="2"/>
  <c r="K40" i="2"/>
  <c r="J40" i="2"/>
  <c r="I40" i="2"/>
  <c r="H40" i="2"/>
  <c r="G40" i="2"/>
  <c r="F40" i="2"/>
  <c r="E40" i="2"/>
  <c r="D40" i="2"/>
  <c r="M39" i="2"/>
  <c r="L39" i="2"/>
  <c r="K39" i="2"/>
  <c r="J39" i="2"/>
  <c r="I39" i="2"/>
  <c r="H39" i="2"/>
  <c r="G39" i="2"/>
  <c r="F39" i="2"/>
  <c r="E39" i="2"/>
  <c r="D39" i="2"/>
  <c r="M37" i="2"/>
  <c r="L37" i="2"/>
  <c r="K37" i="2"/>
  <c r="J37" i="2"/>
  <c r="I37" i="2"/>
  <c r="H37" i="2"/>
  <c r="G37" i="2"/>
  <c r="F37" i="2"/>
  <c r="E37" i="2"/>
  <c r="D37" i="2"/>
  <c r="M36" i="2"/>
  <c r="L36" i="2"/>
  <c r="K36" i="2"/>
  <c r="J36" i="2"/>
  <c r="I36" i="2"/>
  <c r="H36" i="2"/>
  <c r="G36" i="2"/>
  <c r="F36" i="2"/>
  <c r="E36" i="2"/>
  <c r="D36" i="2"/>
  <c r="T67" i="1"/>
  <c r="R67" i="1"/>
  <c r="P67" i="1"/>
  <c r="N67" i="1"/>
  <c r="L67" i="1"/>
  <c r="J67" i="1"/>
  <c r="H67" i="1"/>
  <c r="F67" i="1"/>
  <c r="D67" i="1"/>
  <c r="T51" i="1"/>
  <c r="R51" i="1"/>
  <c r="P51" i="1"/>
  <c r="N51" i="1"/>
  <c r="L51" i="1"/>
  <c r="J51" i="1"/>
  <c r="H51" i="1"/>
  <c r="F51" i="1"/>
  <c r="D51" i="1"/>
  <c r="T45" i="1"/>
  <c r="R45" i="1"/>
  <c r="P45" i="1"/>
  <c r="N45" i="1"/>
  <c r="L45" i="1"/>
  <c r="J45" i="1"/>
  <c r="H45" i="1"/>
  <c r="F45" i="1"/>
  <c r="D45" i="1"/>
  <c r="T29" i="1"/>
  <c r="R29" i="1"/>
  <c r="P29" i="1"/>
  <c r="N29" i="1"/>
  <c r="L29" i="1"/>
  <c r="J29" i="1"/>
  <c r="H29" i="1"/>
  <c r="F29" i="1"/>
  <c r="D29" i="1"/>
  <c r="T23" i="1"/>
  <c r="R23" i="1"/>
  <c r="P23" i="1"/>
  <c r="N23" i="1"/>
  <c r="L23" i="1"/>
  <c r="J23" i="1"/>
  <c r="H23" i="1"/>
  <c r="F23" i="1"/>
  <c r="D23" i="1"/>
  <c r="T7" i="1"/>
  <c r="R7" i="1"/>
  <c r="P7" i="1"/>
  <c r="N7" i="1"/>
  <c r="L7" i="1"/>
  <c r="J7" i="1"/>
  <c r="H7" i="1"/>
</calcChain>
</file>

<file path=xl/sharedStrings.xml><?xml version="1.0" encoding="utf-8"?>
<sst xmlns="http://schemas.openxmlformats.org/spreadsheetml/2006/main" count="383" uniqueCount="44">
  <si>
    <t>CABALLO</t>
  </si>
  <si>
    <t>caballo</t>
  </si>
  <si>
    <t>caballo NLME</t>
  </si>
  <si>
    <t>dosis IV</t>
  </si>
  <si>
    <t>CRI</t>
  </si>
  <si>
    <t>Duracion CRI</t>
  </si>
  <si>
    <t>dosis IV adicional</t>
  </si>
  <si>
    <t>post dosis CRI</t>
  </si>
  <si>
    <t>salino</t>
  </si>
  <si>
    <t xml:space="preserve">Time </t>
  </si>
  <si>
    <t>Concentration</t>
  </si>
  <si>
    <t>30MIN CRI</t>
  </si>
  <si>
    <t>60MIN CRI</t>
  </si>
  <si>
    <t>0 MIN POST CRI</t>
  </si>
  <si>
    <t>3 MIN</t>
  </si>
  <si>
    <t>6 MIN</t>
  </si>
  <si>
    <t>9 MIN</t>
  </si>
  <si>
    <t>12MIN</t>
  </si>
  <si>
    <t>15 MIN</t>
  </si>
  <si>
    <t>20 MIN</t>
  </si>
  <si>
    <t>RECOVERI + 5MIN</t>
  </si>
  <si>
    <t>MEDIA POST BOLUS HASTA T20</t>
  </si>
  <si>
    <t>sd</t>
  </si>
  <si>
    <t>post saline</t>
  </si>
  <si>
    <t>post_0.15</t>
  </si>
  <si>
    <t>post_0.30</t>
  </si>
  <si>
    <t>T30</t>
  </si>
  <si>
    <t>T60</t>
  </si>
  <si>
    <t>T3</t>
  </si>
  <si>
    <t>T6</t>
  </si>
  <si>
    <t>T9</t>
  </si>
  <si>
    <t>T12</t>
  </si>
  <si>
    <t>T15</t>
  </si>
  <si>
    <t>T20</t>
  </si>
  <si>
    <t>T standing</t>
  </si>
  <si>
    <t>SS</t>
  </si>
  <si>
    <t>X0.15</t>
  </si>
  <si>
    <t>X0.30</t>
  </si>
  <si>
    <t>Horse</t>
  </si>
  <si>
    <t>Mean</t>
  </si>
  <si>
    <t>Group</t>
  </si>
  <si>
    <t>RECOVERY + 5MIN</t>
  </si>
  <si>
    <t>Mean from T pre-bolus to  T20</t>
  </si>
  <si>
    <t>T pre-bolus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</si>
</sst>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'[1]CONCENTRACIONES ESTADISTICA'!$BC$8:$BC$17</c:f>
              <c:numCache>
                <c:formatCode>General</c:formatCode>
                <c:ptCount val="10"/>
                <c:pt idx="0">
                  <c:v>-60</c:v>
                </c:pt>
                <c:pt idx="1">
                  <c:v>-30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xVal>
          <c:yVal>
            <c:numRef>
              <c:f>'[1]CONCENTRACIONES ESTADISTICA'!$BD$8:$BD$17</c:f>
              <c:numCache>
                <c:formatCode>General</c:formatCode>
                <c:ptCount val="10"/>
                <c:pt idx="0">
                  <c:v>0.90960544444444458</c:v>
                </c:pt>
                <c:pt idx="1">
                  <c:v>0.59704211111111105</c:v>
                </c:pt>
                <c:pt idx="2">
                  <c:v>0.26342577777777776</c:v>
                </c:pt>
                <c:pt idx="3">
                  <c:v>0.24434400000000001</c:v>
                </c:pt>
                <c:pt idx="4">
                  <c:v>0.24506155555555559</c:v>
                </c:pt>
                <c:pt idx="5">
                  <c:v>0.19417666666666669</c:v>
                </c:pt>
                <c:pt idx="6">
                  <c:v>0.17742845555555556</c:v>
                </c:pt>
                <c:pt idx="7">
                  <c:v>0.16173124555555554</c:v>
                </c:pt>
                <c:pt idx="8">
                  <c:v>0.11072751111111111</c:v>
                </c:pt>
                <c:pt idx="9">
                  <c:v>7.3232844444444445E-2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A-41EC-87CE-1A28C01B83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'[1]CONCENTRACIONES ESTADISTICA'!$BC$8:$BC$17</c:f>
              <c:numCache>
                <c:formatCode>General</c:formatCode>
                <c:ptCount val="10"/>
                <c:pt idx="0">
                  <c:v>-60</c:v>
                </c:pt>
                <c:pt idx="1">
                  <c:v>-30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xVal>
          <c:yVal>
            <c:numRef>
              <c:f>'[1]CONCENTRACIONES ESTADISTICA'!$BG$8:$BG$17</c:f>
              <c:numCache>
                <c:formatCode>General</c:formatCode>
                <c:ptCount val="10"/>
                <c:pt idx="0">
                  <c:v>0.95853088888888882</c:v>
                </c:pt>
                <c:pt idx="1">
                  <c:v>0.59897244444444453</c:v>
                </c:pt>
                <c:pt idx="2">
                  <c:v>0.27111566666666664</c:v>
                </c:pt>
                <c:pt idx="3">
                  <c:v>0.45659466666666682</c:v>
                </c:pt>
                <c:pt idx="4">
                  <c:v>0.42591566666666669</c:v>
                </c:pt>
                <c:pt idx="5">
                  <c:v>0.36273877777777774</c:v>
                </c:pt>
                <c:pt idx="6">
                  <c:v>0.28118955555555553</c:v>
                </c:pt>
                <c:pt idx="7">
                  <c:v>0.23988022222222222</c:v>
                </c:pt>
                <c:pt idx="8">
                  <c:v>0.19089189999999998</c:v>
                </c:pt>
                <c:pt idx="9">
                  <c:v>0.11846785111111112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AA-41EC-87CE-1A28C01B83A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'[1]CONCENTRACIONES ESTADISTICA'!$BC$8:$BC$17</c:f>
              <c:numCache>
                <c:formatCode>General</c:formatCode>
                <c:ptCount val="10"/>
                <c:pt idx="0">
                  <c:v>-60</c:v>
                </c:pt>
                <c:pt idx="1">
                  <c:v>-30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xVal>
          <c:yVal>
            <c:numRef>
              <c:f>'[1]CONCENTRACIONES ESTADISTICA'!$BJ$8:$BJ$17</c:f>
              <c:numCache>
                <c:formatCode>General</c:formatCode>
                <c:ptCount val="10"/>
                <c:pt idx="0">
                  <c:v>0.95616177777777778</c:v>
                </c:pt>
                <c:pt idx="1">
                  <c:v>0.63677266666666676</c:v>
                </c:pt>
                <c:pt idx="2">
                  <c:v>0.28158666666666665</c:v>
                </c:pt>
                <c:pt idx="3">
                  <c:v>0.53180922222222238</c:v>
                </c:pt>
                <c:pt idx="4">
                  <c:v>0.50841622222222216</c:v>
                </c:pt>
                <c:pt idx="5">
                  <c:v>0.42722611111111108</c:v>
                </c:pt>
                <c:pt idx="6">
                  <c:v>0.38117333333333331</c:v>
                </c:pt>
                <c:pt idx="7">
                  <c:v>0.4080361111111111</c:v>
                </c:pt>
                <c:pt idx="8">
                  <c:v>0.23604545555555553</c:v>
                </c:pt>
                <c:pt idx="9">
                  <c:v>0.11704586666666666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AA-41EC-87CE-1A28C01B8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3279"/>
        <c:axId val="575200015"/>
      </c:scatterChart>
      <c:valAx>
        <c:axId val="18140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5200015"/>
        <c:crosses val="autoZero"/>
        <c:crossBetween val="midCat"/>
      </c:valAx>
      <c:valAx>
        <c:axId val="5752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40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729344</xdr:colOff>
      <xdr:row>19</xdr:row>
      <xdr:rowOff>163285</xdr:rowOff>
    </xdr:from>
    <xdr:to>
      <xdr:col>20</xdr:col>
      <xdr:colOff>533401</xdr:colOff>
      <xdr:row>34</xdr:row>
      <xdr:rowOff>130628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849973-02E0-4B69-90CF-FCCF8DB98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INVESTIGACI&#211;N/wetransfer_proyecto-xilacina-caballos_2022-11-08_1600/PK%20MODELLING/resultados%20pk.xlsx" TargetMode="External"/><Relationship Id="rId1" Type="http://schemas.openxmlformats.org/officeDocument/2006/relationships/externalLinkPath" Target="file:///D:/INVESTIGACI&#211;N/wetransfer_proyecto-xilacina-caballos_2022-11-08_1600/PK%20MODELLING/resultados%20p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K"/>
      <sheetName val="CONCENTRACIONES ESTADISTICA"/>
      <sheetName val="Hoja1"/>
      <sheetName val="INDIVIDUALES PK"/>
    </sheetNames>
    <sheetDataSet>
      <sheetData sheetId="0"/>
      <sheetData sheetId="1">
        <row r="8">
          <cell r="BC8">
            <v>-60</v>
          </cell>
          <cell r="BD8">
            <v>0.90960544444444458</v>
          </cell>
          <cell r="BG8">
            <v>0.95853088888888882</v>
          </cell>
          <cell r="BJ8">
            <v>0.95616177777777778</v>
          </cell>
        </row>
        <row r="9">
          <cell r="BC9">
            <v>-30</v>
          </cell>
          <cell r="BD9">
            <v>0.59704211111111105</v>
          </cell>
          <cell r="BG9">
            <v>0.59897244444444453</v>
          </cell>
          <cell r="BJ9">
            <v>0.63677266666666676</v>
          </cell>
        </row>
        <row r="10">
          <cell r="BC10">
            <v>0</v>
          </cell>
          <cell r="BD10">
            <v>0.26342577777777776</v>
          </cell>
          <cell r="BG10">
            <v>0.27111566666666664</v>
          </cell>
          <cell r="BJ10">
            <v>0.28158666666666665</v>
          </cell>
        </row>
        <row r="11">
          <cell r="BC11">
            <v>3</v>
          </cell>
          <cell r="BD11">
            <v>0.24434400000000001</v>
          </cell>
          <cell r="BG11">
            <v>0.45659466666666682</v>
          </cell>
          <cell r="BJ11">
            <v>0.53180922222222238</v>
          </cell>
        </row>
        <row r="12">
          <cell r="BC12">
            <v>6</v>
          </cell>
          <cell r="BD12">
            <v>0.24506155555555559</v>
          </cell>
          <cell r="BG12">
            <v>0.42591566666666669</v>
          </cell>
          <cell r="BJ12">
            <v>0.50841622222222216</v>
          </cell>
        </row>
        <row r="13">
          <cell r="BC13">
            <v>9</v>
          </cell>
          <cell r="BD13">
            <v>0.19417666666666669</v>
          </cell>
          <cell r="BG13">
            <v>0.36273877777777774</v>
          </cell>
          <cell r="BJ13">
            <v>0.42722611111111108</v>
          </cell>
        </row>
        <row r="14">
          <cell r="BC14">
            <v>12</v>
          </cell>
          <cell r="BD14">
            <v>0.17742845555555556</v>
          </cell>
          <cell r="BG14">
            <v>0.28118955555555553</v>
          </cell>
          <cell r="BJ14">
            <v>0.38117333333333331</v>
          </cell>
        </row>
        <row r="15">
          <cell r="BC15">
            <v>15</v>
          </cell>
          <cell r="BD15">
            <v>0.16173124555555554</v>
          </cell>
          <cell r="BG15">
            <v>0.23988022222222222</v>
          </cell>
          <cell r="BJ15">
            <v>0.4080361111111111</v>
          </cell>
        </row>
        <row r="16">
          <cell r="BC16">
            <v>20</v>
          </cell>
          <cell r="BD16">
            <v>0.11072751111111111</v>
          </cell>
          <cell r="BG16">
            <v>0.19089189999999998</v>
          </cell>
          <cell r="BJ16">
            <v>0.23604545555555553</v>
          </cell>
        </row>
        <row r="17">
          <cell r="BC17">
            <v>25</v>
          </cell>
          <cell r="BD17">
            <v>7.3232844444444445E-2</v>
          </cell>
          <cell r="BG17">
            <v>0.11846785111111112</v>
          </cell>
          <cell r="BJ17">
            <v>0.11704586666666666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FF47-F233-4406-B703-A1A53BA13B2F}">
  <dimension ref="B1:T67"/>
  <sheetViews>
    <sheetView topLeftCell="B17" zoomScale="63" workbookViewId="0">
      <selection activeCell="C23" sqref="A23:XFD23"/>
    </sheetView>
  </sheetViews>
  <sheetFormatPr baseColWidth="10" defaultRowHeight="15" x14ac:dyDescent="0.2"/>
  <cols>
    <col min="2" max="2" width="20.5" style="1" bestFit="1" customWidth="1"/>
    <col min="3" max="3" width="19.1640625" style="2" bestFit="1" customWidth="1"/>
    <col min="4" max="4" width="9.83203125" style="2" bestFit="1" customWidth="1"/>
    <col min="5" max="5" width="19.1640625" style="2" bestFit="1" customWidth="1"/>
    <col min="6" max="6" width="9.83203125" style="2" bestFit="1" customWidth="1"/>
    <col min="7" max="7" width="19.1640625" style="2" bestFit="1" customWidth="1"/>
    <col min="8" max="8" width="9.83203125" style="2" bestFit="1" customWidth="1"/>
    <col min="9" max="9" width="19.1640625" style="2" bestFit="1" customWidth="1"/>
    <col min="10" max="10" width="9.83203125" style="2" bestFit="1" customWidth="1"/>
    <col min="11" max="11" width="19.1640625" style="2" bestFit="1" customWidth="1"/>
    <col min="12" max="12" width="9.83203125" style="2" bestFit="1" customWidth="1"/>
    <col min="13" max="13" width="19.1640625" style="2" bestFit="1" customWidth="1"/>
    <col min="14" max="14" width="9.83203125" style="2" bestFit="1" customWidth="1"/>
    <col min="15" max="15" width="19.1640625" style="2" bestFit="1" customWidth="1"/>
    <col min="16" max="16" width="9.83203125" style="2" bestFit="1" customWidth="1"/>
    <col min="17" max="17" width="19.1640625" style="2" bestFit="1" customWidth="1"/>
    <col min="18" max="18" width="9.83203125" style="2" bestFit="1" customWidth="1"/>
    <col min="19" max="19" width="19.1640625" style="2" bestFit="1" customWidth="1"/>
    <col min="20" max="20" width="18.83203125" style="2" customWidth="1"/>
  </cols>
  <sheetData>
    <row r="1" spans="2:20" x14ac:dyDescent="0.2">
      <c r="C1" s="2" t="s">
        <v>0</v>
      </c>
    </row>
    <row r="3" spans="2:20" x14ac:dyDescent="0.2">
      <c r="C3" s="2" t="s">
        <v>1</v>
      </c>
      <c r="D3" s="2">
        <v>45002</v>
      </c>
      <c r="E3" s="2" t="s">
        <v>1</v>
      </c>
      <c r="F3" s="2">
        <v>45969</v>
      </c>
      <c r="G3" s="2" t="s">
        <v>1</v>
      </c>
      <c r="H3" s="2">
        <v>46797</v>
      </c>
      <c r="I3" s="2" t="s">
        <v>1</v>
      </c>
      <c r="J3" s="2">
        <v>47125</v>
      </c>
      <c r="K3" s="2" t="s">
        <v>1</v>
      </c>
      <c r="L3" s="2">
        <v>45241</v>
      </c>
      <c r="M3" s="2" t="s">
        <v>1</v>
      </c>
      <c r="N3" s="2">
        <v>45407</v>
      </c>
      <c r="O3" s="2" t="s">
        <v>1</v>
      </c>
      <c r="P3" s="2">
        <v>46665</v>
      </c>
      <c r="Q3" s="2" t="s">
        <v>1</v>
      </c>
      <c r="R3" s="2">
        <v>45862</v>
      </c>
      <c r="S3" s="2" t="s">
        <v>1</v>
      </c>
      <c r="T3" s="2">
        <v>4677</v>
      </c>
    </row>
    <row r="4" spans="2:20" x14ac:dyDescent="0.2">
      <c r="C4" s="2" t="s">
        <v>2</v>
      </c>
      <c r="D4" s="2">
        <v>1</v>
      </c>
      <c r="E4" s="2" t="s">
        <v>2</v>
      </c>
      <c r="F4" s="2">
        <v>2</v>
      </c>
      <c r="G4" s="2" t="s">
        <v>2</v>
      </c>
      <c r="H4" s="2">
        <v>3</v>
      </c>
      <c r="I4" s="2" t="s">
        <v>2</v>
      </c>
      <c r="J4" s="2">
        <v>4</v>
      </c>
      <c r="K4" s="2" t="s">
        <v>2</v>
      </c>
      <c r="L4" s="2">
        <v>5</v>
      </c>
      <c r="M4" s="2" t="s">
        <v>2</v>
      </c>
      <c r="N4" s="2">
        <v>6</v>
      </c>
      <c r="O4" s="2" t="s">
        <v>2</v>
      </c>
      <c r="P4" s="2">
        <v>7</v>
      </c>
      <c r="Q4" s="2" t="s">
        <v>2</v>
      </c>
      <c r="R4" s="2">
        <v>8</v>
      </c>
      <c r="S4" s="2" t="s">
        <v>2</v>
      </c>
      <c r="T4" s="2">
        <v>9</v>
      </c>
    </row>
    <row r="5" spans="2:20" x14ac:dyDescent="0.2">
      <c r="C5" s="2" t="s">
        <v>3</v>
      </c>
      <c r="D5" s="2">
        <v>1.1000000000000001</v>
      </c>
      <c r="E5" s="2" t="s">
        <v>3</v>
      </c>
      <c r="F5" s="2">
        <v>1.1000000000000001</v>
      </c>
      <c r="G5" s="2" t="s">
        <v>3</v>
      </c>
      <c r="H5" s="2">
        <v>1.1000000000000001</v>
      </c>
      <c r="I5" s="2" t="s">
        <v>3</v>
      </c>
      <c r="J5" s="2">
        <v>1.1000000000000001</v>
      </c>
      <c r="K5" s="2" t="s">
        <v>3</v>
      </c>
      <c r="L5" s="2">
        <v>1.1000000000000001</v>
      </c>
      <c r="M5" s="2" t="s">
        <v>3</v>
      </c>
      <c r="N5" s="2">
        <v>1.1000000000000001</v>
      </c>
      <c r="O5" s="2" t="s">
        <v>3</v>
      </c>
      <c r="P5" s="2">
        <v>1.1000000000000001</v>
      </c>
      <c r="Q5" s="2" t="s">
        <v>3</v>
      </c>
      <c r="R5" s="2">
        <v>1.1000000000000001</v>
      </c>
      <c r="S5" s="2" t="s">
        <v>3</v>
      </c>
      <c r="T5" s="2">
        <v>1.1000000000000001</v>
      </c>
    </row>
    <row r="6" spans="2:20" x14ac:dyDescent="0.2">
      <c r="C6" s="2" t="s">
        <v>4</v>
      </c>
      <c r="D6" s="2">
        <v>0.7</v>
      </c>
      <c r="E6" s="2" t="s">
        <v>4</v>
      </c>
      <c r="F6" s="2">
        <v>0.7</v>
      </c>
      <c r="G6" s="2" t="s">
        <v>4</v>
      </c>
      <c r="H6" s="2">
        <v>0.7</v>
      </c>
      <c r="I6" s="2" t="s">
        <v>4</v>
      </c>
      <c r="J6" s="2">
        <v>0.7</v>
      </c>
      <c r="K6" s="2" t="s">
        <v>4</v>
      </c>
      <c r="L6" s="2">
        <v>0.7</v>
      </c>
      <c r="M6" s="2" t="s">
        <v>4</v>
      </c>
      <c r="N6" s="2">
        <v>0.7</v>
      </c>
      <c r="O6" s="2" t="s">
        <v>4</v>
      </c>
      <c r="P6" s="2">
        <v>0.7</v>
      </c>
      <c r="Q6" s="2" t="s">
        <v>4</v>
      </c>
      <c r="R6" s="2">
        <v>0.7</v>
      </c>
      <c r="S6" s="2" t="s">
        <v>4</v>
      </c>
      <c r="T6" s="2">
        <v>0.7</v>
      </c>
    </row>
    <row r="7" spans="2:20" x14ac:dyDescent="0.2">
      <c r="C7" s="2" t="s">
        <v>5</v>
      </c>
      <c r="D7" s="2">
        <v>3.25</v>
      </c>
      <c r="E7" s="2" t="s">
        <v>5</v>
      </c>
      <c r="F7" s="2">
        <v>1.266666667</v>
      </c>
      <c r="G7" s="2" t="s">
        <v>5</v>
      </c>
      <c r="H7" s="2">
        <f>G14</f>
        <v>1.6666666670000001</v>
      </c>
      <c r="I7" s="2" t="s">
        <v>5</v>
      </c>
      <c r="J7" s="2">
        <f>I14</f>
        <v>2.2999999999999998</v>
      </c>
      <c r="K7" s="2" t="s">
        <v>5</v>
      </c>
      <c r="L7" s="2">
        <f>K14</f>
        <v>2.65</v>
      </c>
      <c r="M7" s="2" t="s">
        <v>5</v>
      </c>
      <c r="N7" s="2">
        <f>M14</f>
        <v>2.5499999999999998</v>
      </c>
      <c r="O7" s="2" t="s">
        <v>5</v>
      </c>
      <c r="P7" s="2">
        <f>O14</f>
        <v>3.3833333329999999</v>
      </c>
      <c r="Q7" s="2" t="s">
        <v>5</v>
      </c>
      <c r="R7" s="2">
        <f>Q14</f>
        <v>1.5833333329999999</v>
      </c>
      <c r="S7" s="2" t="s">
        <v>5</v>
      </c>
      <c r="T7" s="2">
        <f>S14</f>
        <v>1.6666666670000001</v>
      </c>
    </row>
    <row r="8" spans="2:20" x14ac:dyDescent="0.2">
      <c r="C8" s="2" t="s">
        <v>6</v>
      </c>
      <c r="D8" s="2">
        <v>0.3</v>
      </c>
      <c r="E8" s="2" t="s">
        <v>6</v>
      </c>
      <c r="F8" s="2">
        <v>0.3</v>
      </c>
      <c r="G8" s="2" t="s">
        <v>6</v>
      </c>
      <c r="H8" s="2">
        <v>0.3</v>
      </c>
      <c r="I8" s="2" t="s">
        <v>6</v>
      </c>
      <c r="J8" s="2">
        <v>0.3</v>
      </c>
      <c r="K8" s="2" t="s">
        <v>6</v>
      </c>
      <c r="L8" s="2">
        <v>0</v>
      </c>
      <c r="M8" s="2" t="s">
        <v>6</v>
      </c>
      <c r="N8" s="2">
        <v>0</v>
      </c>
      <c r="O8" s="2" t="s">
        <v>6</v>
      </c>
      <c r="P8" s="2">
        <v>0</v>
      </c>
      <c r="Q8" s="2" t="s">
        <v>6</v>
      </c>
      <c r="S8" s="2" t="s">
        <v>6</v>
      </c>
    </row>
    <row r="9" spans="2:20" x14ac:dyDescent="0.2">
      <c r="C9" s="2" t="s">
        <v>6</v>
      </c>
      <c r="D9" s="2">
        <v>0</v>
      </c>
      <c r="E9" s="2" t="s">
        <v>6</v>
      </c>
      <c r="F9" s="2">
        <v>0</v>
      </c>
      <c r="G9" s="2" t="s">
        <v>6</v>
      </c>
      <c r="H9" s="2">
        <v>0</v>
      </c>
      <c r="I9" s="2" t="s">
        <v>6</v>
      </c>
      <c r="J9" s="2">
        <v>0</v>
      </c>
      <c r="K9" s="2" t="s">
        <v>6</v>
      </c>
      <c r="M9" s="2" t="s">
        <v>6</v>
      </c>
      <c r="N9" s="2">
        <v>0</v>
      </c>
      <c r="O9" s="2" t="s">
        <v>6</v>
      </c>
      <c r="P9" s="2">
        <v>0</v>
      </c>
      <c r="Q9" s="2" t="s">
        <v>6</v>
      </c>
      <c r="S9" s="2" t="s">
        <v>6</v>
      </c>
    </row>
    <row r="10" spans="2:20" x14ac:dyDescent="0.2">
      <c r="C10" s="2" t="s">
        <v>7</v>
      </c>
      <c r="D10" s="2" t="s">
        <v>8</v>
      </c>
      <c r="E10" s="2" t="s">
        <v>7</v>
      </c>
      <c r="G10" s="2" t="s">
        <v>7</v>
      </c>
      <c r="H10" s="2" t="s">
        <v>8</v>
      </c>
      <c r="I10" s="2" t="s">
        <v>7</v>
      </c>
      <c r="K10" s="2" t="s">
        <v>7</v>
      </c>
      <c r="L10" s="2" t="s">
        <v>8</v>
      </c>
      <c r="M10" s="2" t="s">
        <v>7</v>
      </c>
      <c r="O10" s="2" t="s">
        <v>7</v>
      </c>
      <c r="P10" s="2" t="s">
        <v>8</v>
      </c>
      <c r="Q10" s="2" t="s">
        <v>7</v>
      </c>
      <c r="S10" s="2" t="s">
        <v>7</v>
      </c>
      <c r="T10" s="2" t="s">
        <v>8</v>
      </c>
    </row>
    <row r="11" spans="2:20" x14ac:dyDescent="0.2">
      <c r="C11" s="2" t="s">
        <v>9</v>
      </c>
      <c r="D11" s="2" t="s">
        <v>10</v>
      </c>
      <c r="E11" s="2" t="s">
        <v>9</v>
      </c>
      <c r="F11" s="2" t="s">
        <v>10</v>
      </c>
      <c r="G11" s="2" t="s">
        <v>9</v>
      </c>
      <c r="H11" s="2" t="s">
        <v>10</v>
      </c>
      <c r="I11" s="2" t="s">
        <v>9</v>
      </c>
      <c r="J11" s="2" t="s">
        <v>10</v>
      </c>
      <c r="K11" s="2" t="s">
        <v>9</v>
      </c>
      <c r="L11" s="2" t="s">
        <v>10</v>
      </c>
      <c r="M11" s="2" t="s">
        <v>9</v>
      </c>
      <c r="N11" s="2" t="s">
        <v>10</v>
      </c>
      <c r="O11" s="2" t="s">
        <v>9</v>
      </c>
      <c r="P11" s="2" t="s">
        <v>10</v>
      </c>
      <c r="Q11" s="2" t="s">
        <v>9</v>
      </c>
      <c r="R11" s="2" t="s">
        <v>10</v>
      </c>
      <c r="S11" s="2" t="s">
        <v>9</v>
      </c>
      <c r="T11" s="2" t="s">
        <v>10</v>
      </c>
    </row>
    <row r="12" spans="2:20" x14ac:dyDescent="0.2">
      <c r="B12" s="2" t="s">
        <v>11</v>
      </c>
      <c r="C12" s="2">
        <v>0.5</v>
      </c>
      <c r="D12" s="2">
        <v>1.1222000000000001</v>
      </c>
      <c r="E12" s="2">
        <v>0.5</v>
      </c>
      <c r="F12" s="2">
        <v>1.22156</v>
      </c>
      <c r="G12" s="2">
        <v>0.5</v>
      </c>
      <c r="H12" s="2">
        <v>0.86876900000000001</v>
      </c>
      <c r="I12" s="2">
        <v>0.5</v>
      </c>
      <c r="J12" s="2">
        <v>1.0819000000000001</v>
      </c>
      <c r="K12" s="2">
        <v>0.5</v>
      </c>
      <c r="L12" s="2">
        <v>0.701936</v>
      </c>
      <c r="M12" s="2">
        <v>0.5</v>
      </c>
      <c r="N12" s="2">
        <v>0.83536900000000003</v>
      </c>
      <c r="O12" s="2">
        <v>0.5</v>
      </c>
      <c r="P12">
        <v>0.59853100000000004</v>
      </c>
      <c r="Q12" s="2">
        <v>0.5</v>
      </c>
      <c r="R12" s="2">
        <v>0.93762900000000005</v>
      </c>
      <c r="S12" s="2">
        <v>0.5</v>
      </c>
      <c r="T12" s="2">
        <v>0.81855500000000003</v>
      </c>
    </row>
    <row r="13" spans="2:20" x14ac:dyDescent="0.2">
      <c r="B13" s="2" t="s">
        <v>12</v>
      </c>
      <c r="C13" s="2">
        <v>1</v>
      </c>
      <c r="D13" s="2">
        <v>0.67991299999999999</v>
      </c>
      <c r="E13" s="2">
        <v>1</v>
      </c>
      <c r="F13" s="2">
        <v>0.98267899999999997</v>
      </c>
      <c r="G13" s="2">
        <v>1</v>
      </c>
      <c r="H13" s="2">
        <v>0.50770000000000004</v>
      </c>
      <c r="I13" s="2">
        <v>1</v>
      </c>
      <c r="J13" s="2">
        <v>0.71172299999999999</v>
      </c>
      <c r="K13" s="2">
        <v>1</v>
      </c>
      <c r="L13" s="2">
        <v>0.43614799999999998</v>
      </c>
      <c r="M13" s="2">
        <v>1</v>
      </c>
      <c r="N13" s="2">
        <v>0.59032300000000004</v>
      </c>
      <c r="O13" s="2">
        <v>1</v>
      </c>
      <c r="P13" s="2">
        <v>0.29009000000000001</v>
      </c>
      <c r="Q13" s="2">
        <v>1</v>
      </c>
      <c r="R13" s="2">
        <v>0.63188800000000001</v>
      </c>
      <c r="S13" s="2">
        <v>1</v>
      </c>
      <c r="T13" s="2">
        <v>0.54291500000000004</v>
      </c>
    </row>
    <row r="14" spans="2:20" x14ac:dyDescent="0.2">
      <c r="B14" s="2" t="s">
        <v>13</v>
      </c>
      <c r="C14" s="2">
        <v>3.25</v>
      </c>
      <c r="D14" s="2">
        <v>0.25245200000000001</v>
      </c>
      <c r="E14" s="2">
        <v>1.266666667</v>
      </c>
      <c r="F14" s="2">
        <v>0.52276500000000004</v>
      </c>
      <c r="G14" s="2">
        <v>1.6666666670000001</v>
      </c>
      <c r="H14" s="2">
        <v>0.18515999999999999</v>
      </c>
      <c r="I14" s="2">
        <v>2.2999999999999998</v>
      </c>
      <c r="J14" s="2">
        <v>0.27667399999999998</v>
      </c>
      <c r="K14" s="2">
        <v>2.65</v>
      </c>
      <c r="L14" s="2">
        <v>0.18936600000000001</v>
      </c>
      <c r="M14" s="2">
        <v>2.5499999999999998</v>
      </c>
      <c r="N14" s="2">
        <v>0.27660800000000002</v>
      </c>
      <c r="O14" s="2">
        <v>3.3833333329999999</v>
      </c>
      <c r="P14" s="2">
        <v>0.14000000000000001</v>
      </c>
      <c r="Q14" s="2">
        <v>1.5833333329999999</v>
      </c>
      <c r="R14" s="2">
        <v>0.28517999999999999</v>
      </c>
      <c r="S14" s="2">
        <v>1.6666666670000001</v>
      </c>
      <c r="T14" s="2">
        <v>0.24262700000000001</v>
      </c>
    </row>
    <row r="15" spans="2:20" x14ac:dyDescent="0.2">
      <c r="B15" s="2" t="s">
        <v>14</v>
      </c>
      <c r="C15" s="2">
        <v>3.3</v>
      </c>
      <c r="D15" s="2">
        <v>0.206647</v>
      </c>
      <c r="E15" s="2">
        <v>1.316666667</v>
      </c>
      <c r="F15" s="2">
        <v>0.50235600000000002</v>
      </c>
      <c r="G15" s="2">
        <v>1.7166666669999999</v>
      </c>
      <c r="H15" s="2">
        <v>0.17170099999999999</v>
      </c>
      <c r="I15" s="2">
        <v>2.35</v>
      </c>
      <c r="J15" s="2">
        <v>0.25991700000000001</v>
      </c>
      <c r="K15" s="2">
        <v>2.7</v>
      </c>
      <c r="L15" s="2">
        <v>0.17612700000000001</v>
      </c>
      <c r="M15" s="2">
        <v>2.6</v>
      </c>
      <c r="N15" s="2">
        <v>0.26130300000000001</v>
      </c>
      <c r="O15" s="2">
        <v>3.4333333330000002</v>
      </c>
      <c r="P15" s="2">
        <v>0.12554699999999999</v>
      </c>
      <c r="Q15" s="2">
        <v>1.6333333329999999</v>
      </c>
      <c r="R15" s="2">
        <v>0.26796399999999998</v>
      </c>
      <c r="S15" s="2">
        <v>1.7166666669999999</v>
      </c>
      <c r="T15" s="2">
        <v>0.22753399999999999</v>
      </c>
    </row>
    <row r="16" spans="2:20" x14ac:dyDescent="0.2">
      <c r="B16" s="2" t="s">
        <v>15</v>
      </c>
      <c r="C16" s="2">
        <v>3.35</v>
      </c>
      <c r="D16" s="2">
        <v>0.23518800000000001</v>
      </c>
      <c r="E16" s="2">
        <v>1.3666666670000001</v>
      </c>
      <c r="F16" s="2">
        <v>0.472026</v>
      </c>
      <c r="G16" s="2">
        <v>1.766666667</v>
      </c>
      <c r="H16" s="2">
        <v>0.19263</v>
      </c>
      <c r="I16" s="2">
        <v>2.4</v>
      </c>
      <c r="J16" s="2">
        <v>0.20299</v>
      </c>
      <c r="K16" s="2">
        <v>2.75</v>
      </c>
      <c r="L16" s="2">
        <v>0.153694</v>
      </c>
      <c r="M16" s="2">
        <v>2.65</v>
      </c>
      <c r="N16" s="2">
        <v>0.33619599999999999</v>
      </c>
      <c r="O16" s="2">
        <v>3.483333333</v>
      </c>
      <c r="P16" s="2">
        <v>0.101231</v>
      </c>
      <c r="Q16" s="2">
        <v>1.683333333</v>
      </c>
      <c r="R16" s="2">
        <v>0.20929500000000001</v>
      </c>
      <c r="S16" s="2">
        <v>1.766666667</v>
      </c>
      <c r="T16" s="2">
        <v>0.30230400000000002</v>
      </c>
    </row>
    <row r="17" spans="2:20" x14ac:dyDescent="0.2">
      <c r="B17" s="2" t="s">
        <v>16</v>
      </c>
      <c r="C17" s="2">
        <v>3.4</v>
      </c>
      <c r="D17" s="2">
        <v>0.18173400000000001</v>
      </c>
      <c r="E17" s="2">
        <v>1.4166666670000001</v>
      </c>
      <c r="F17" s="2">
        <v>0.40363700000000002</v>
      </c>
      <c r="G17" s="2">
        <v>1.816666667</v>
      </c>
      <c r="H17" s="2">
        <v>0.129857</v>
      </c>
      <c r="I17" s="2">
        <v>2.4500000000000002</v>
      </c>
      <c r="J17" s="2">
        <v>0.208983</v>
      </c>
      <c r="K17" s="2">
        <v>2.8</v>
      </c>
      <c r="L17" s="2">
        <v>0.13420599999999999</v>
      </c>
      <c r="M17" s="2">
        <v>2.7</v>
      </c>
      <c r="N17" s="2">
        <v>0.21360799999999999</v>
      </c>
      <c r="O17" s="2">
        <v>2.016666667</v>
      </c>
      <c r="P17" s="2">
        <v>8.1748000000000001E-2</v>
      </c>
      <c r="Q17" s="2">
        <v>1.733333333</v>
      </c>
      <c r="R17" s="2">
        <v>0.21382899999999999</v>
      </c>
      <c r="S17" s="2">
        <v>1.816666667</v>
      </c>
      <c r="T17" s="2">
        <v>0.17998800000000001</v>
      </c>
    </row>
    <row r="18" spans="2:20" x14ac:dyDescent="0.2">
      <c r="B18" s="2" t="s">
        <v>17</v>
      </c>
      <c r="C18" s="2">
        <v>3.45</v>
      </c>
      <c r="D18" s="2">
        <v>0.14099600000000001</v>
      </c>
      <c r="E18" s="2">
        <v>1.4666666669999999</v>
      </c>
      <c r="F18" s="2">
        <v>0.38706400000000002</v>
      </c>
      <c r="G18" s="2">
        <v>1.8666666670000001</v>
      </c>
      <c r="H18" s="2">
        <v>0.18307300000000001</v>
      </c>
      <c r="I18" s="2">
        <v>2.5</v>
      </c>
      <c r="J18" s="2">
        <v>0.18757499999999999</v>
      </c>
      <c r="K18" s="2">
        <v>2.85</v>
      </c>
      <c r="L18" s="2">
        <v>0.11727600000000001</v>
      </c>
      <c r="M18" s="2">
        <v>2.75</v>
      </c>
      <c r="N18" s="2">
        <v>0.19328300000000001</v>
      </c>
      <c r="O18" s="2">
        <v>3.5833333330000001</v>
      </c>
      <c r="P18" s="2">
        <v>6.6136100000000003E-2</v>
      </c>
      <c r="Q18" s="2">
        <v>1.7833333330000001</v>
      </c>
      <c r="R18" s="2">
        <v>0.16120599999999999</v>
      </c>
      <c r="S18" s="2">
        <v>1.8666666670000001</v>
      </c>
      <c r="T18" s="2">
        <v>0.160247</v>
      </c>
    </row>
    <row r="19" spans="2:20" x14ac:dyDescent="0.2">
      <c r="B19" s="2" t="s">
        <v>18</v>
      </c>
      <c r="C19" s="2">
        <v>3.5</v>
      </c>
      <c r="D19" s="2">
        <v>0.15998499999999999</v>
      </c>
      <c r="E19" s="2">
        <v>1.516666667</v>
      </c>
      <c r="F19" s="2">
        <v>0.39218599999999998</v>
      </c>
      <c r="G19" s="2">
        <v>1.9166666670000001</v>
      </c>
      <c r="H19" s="2">
        <v>7.9855410000000002E-2</v>
      </c>
      <c r="I19" s="2">
        <v>2.5499999999999998</v>
      </c>
      <c r="J19" s="2">
        <v>0.16848299999999999</v>
      </c>
      <c r="K19" s="2">
        <v>2.9</v>
      </c>
      <c r="L19" s="2">
        <v>0.102566</v>
      </c>
      <c r="M19" s="2">
        <v>2.8</v>
      </c>
      <c r="N19" s="2">
        <v>0.27499299999999999</v>
      </c>
      <c r="O19" s="2">
        <v>3.6333333329999999</v>
      </c>
      <c r="P19" s="2">
        <v>5.3623799999999999E-2</v>
      </c>
      <c r="Q19" s="2">
        <v>1.8333333329999999</v>
      </c>
      <c r="R19" s="2">
        <v>0.12110600000000001</v>
      </c>
      <c r="S19" s="2">
        <v>1.9166666670000001</v>
      </c>
      <c r="T19" s="2">
        <v>0.102783</v>
      </c>
    </row>
    <row r="20" spans="2:20" x14ac:dyDescent="0.2">
      <c r="B20" s="2" t="s">
        <v>19</v>
      </c>
      <c r="C20" s="2">
        <v>3.5833333330000001</v>
      </c>
      <c r="D20" s="2">
        <v>9.7271800000000005E-2</v>
      </c>
      <c r="E20" s="2">
        <v>1.55</v>
      </c>
      <c r="F20" s="2">
        <v>0.32754299999999997</v>
      </c>
      <c r="G20" s="2">
        <v>2</v>
      </c>
      <c r="H20" s="2">
        <v>6.5719899999999998E-2</v>
      </c>
      <c r="I20" s="2">
        <v>2.6333333329999999</v>
      </c>
      <c r="J20" s="2">
        <v>8.2708000000000004E-2</v>
      </c>
      <c r="K20" s="2">
        <v>2.9333333330000002</v>
      </c>
      <c r="L20" s="2">
        <v>6.9019800000000006E-2</v>
      </c>
      <c r="M20" s="2">
        <v>2.8833333329999999</v>
      </c>
      <c r="N20" s="2">
        <v>0.13037399999999999</v>
      </c>
      <c r="O20" s="2">
        <v>3.7166666670000001</v>
      </c>
      <c r="P20" s="2">
        <v>3.9100099999999999E-2</v>
      </c>
      <c r="Q20" s="2">
        <v>1.9166666670000001</v>
      </c>
      <c r="R20" s="2">
        <v>8.3264000000000005E-2</v>
      </c>
      <c r="S20" s="2">
        <v>2</v>
      </c>
      <c r="T20" s="2">
        <v>0.101547</v>
      </c>
    </row>
    <row r="21" spans="2:20" x14ac:dyDescent="0.2">
      <c r="B21" s="2" t="s">
        <v>20</v>
      </c>
      <c r="C21" s="2">
        <v>3.85</v>
      </c>
      <c r="D21" s="2">
        <v>6.8089700000000003E-2</v>
      </c>
      <c r="E21" s="2">
        <v>1.6</v>
      </c>
      <c r="F21" s="2">
        <v>0.27285399999999999</v>
      </c>
      <c r="G21" s="2">
        <v>2.6166666670000001</v>
      </c>
      <c r="H21" s="2">
        <v>3.0588199999999999E-2</v>
      </c>
      <c r="I21" s="2">
        <v>3.233333333</v>
      </c>
      <c r="J21" s="2">
        <v>5.0444799999999998E-2</v>
      </c>
      <c r="K21" s="2">
        <v>2.983333333</v>
      </c>
      <c r="L21" s="2">
        <v>3.6659299999999999E-2</v>
      </c>
      <c r="M21" s="2">
        <v>3.6</v>
      </c>
      <c r="N21" s="2">
        <v>6.1741799999999999E-2</v>
      </c>
      <c r="O21" s="2">
        <v>4.1333333330000004</v>
      </c>
      <c r="P21" s="2">
        <v>4.1590299999999997E-2</v>
      </c>
      <c r="Q21" s="2">
        <v>2.4</v>
      </c>
      <c r="R21" s="2">
        <v>4.9292000000000002E-2</v>
      </c>
      <c r="S21" s="2">
        <v>3</v>
      </c>
      <c r="T21" s="2">
        <v>4.7835500000000003E-2</v>
      </c>
    </row>
    <row r="23" spans="2:20" x14ac:dyDescent="0.2">
      <c r="B23" s="3" t="s">
        <v>21</v>
      </c>
      <c r="C23" s="3"/>
      <c r="D23" s="4">
        <f>AVERAGE(D15:D20)</f>
        <v>0.17030363333333332</v>
      </c>
      <c r="E23" s="4"/>
      <c r="F23" s="4">
        <f t="shared" ref="F23:R23" si="0">AVERAGE(F15:F20)</f>
        <v>0.41413533333333336</v>
      </c>
      <c r="G23" s="4"/>
      <c r="H23" s="4">
        <f t="shared" si="0"/>
        <v>0.137139385</v>
      </c>
      <c r="I23" s="4"/>
      <c r="J23" s="4">
        <f t="shared" si="0"/>
        <v>0.18510933333333332</v>
      </c>
      <c r="K23" s="4"/>
      <c r="L23" s="4">
        <f t="shared" si="0"/>
        <v>0.12548146666666668</v>
      </c>
      <c r="M23" s="4"/>
      <c r="N23" s="4">
        <f t="shared" si="0"/>
        <v>0.23495950000000002</v>
      </c>
      <c r="O23" s="4"/>
      <c r="P23" s="4">
        <f t="shared" si="0"/>
        <v>7.7897666666666657E-2</v>
      </c>
      <c r="Q23" s="4"/>
      <c r="R23" s="4">
        <f t="shared" si="0"/>
        <v>0.17611066666666667</v>
      </c>
      <c r="S23" s="4"/>
      <c r="T23" s="4">
        <f>AVERAGE(T15:T20)</f>
        <v>0.17906716666666667</v>
      </c>
    </row>
    <row r="25" spans="2:20" x14ac:dyDescent="0.2">
      <c r="C25" s="2" t="s">
        <v>1</v>
      </c>
      <c r="D25" s="2">
        <v>45159</v>
      </c>
      <c r="E25" s="2" t="s">
        <v>1</v>
      </c>
      <c r="F25" s="2">
        <v>4566</v>
      </c>
      <c r="G25" s="2" t="s">
        <v>1</v>
      </c>
      <c r="H25" s="2">
        <v>49361</v>
      </c>
      <c r="I25" s="2" t="s">
        <v>1</v>
      </c>
      <c r="J25" s="2">
        <v>47104</v>
      </c>
      <c r="K25" s="2" t="s">
        <v>1</v>
      </c>
      <c r="L25" s="2">
        <v>43760</v>
      </c>
      <c r="M25" s="2" t="s">
        <v>1</v>
      </c>
      <c r="N25" s="2">
        <v>45408</v>
      </c>
      <c r="O25" s="2" t="s">
        <v>1</v>
      </c>
      <c r="P25" s="2">
        <v>45496</v>
      </c>
      <c r="Q25" s="2" t="s">
        <v>1</v>
      </c>
      <c r="R25" s="2">
        <v>46752</v>
      </c>
      <c r="S25" s="2" t="s">
        <v>1</v>
      </c>
      <c r="T25" s="2">
        <v>46795</v>
      </c>
    </row>
    <row r="26" spans="2:20" x14ac:dyDescent="0.2">
      <c r="C26" s="2" t="s">
        <v>2</v>
      </c>
      <c r="D26" s="2">
        <v>10</v>
      </c>
      <c r="E26" s="2" t="s">
        <v>2</v>
      </c>
      <c r="F26" s="2">
        <v>11</v>
      </c>
      <c r="G26" s="2" t="s">
        <v>2</v>
      </c>
      <c r="H26" s="2">
        <v>12</v>
      </c>
      <c r="I26" s="2" t="s">
        <v>2</v>
      </c>
      <c r="J26" s="2">
        <v>13</v>
      </c>
      <c r="K26" s="2" t="s">
        <v>2</v>
      </c>
      <c r="L26" s="2">
        <v>14</v>
      </c>
      <c r="M26" s="2" t="s">
        <v>2</v>
      </c>
      <c r="N26" s="2">
        <v>15</v>
      </c>
      <c r="O26" s="2" t="s">
        <v>2</v>
      </c>
      <c r="P26" s="2">
        <v>16</v>
      </c>
      <c r="Q26" s="2" t="s">
        <v>2</v>
      </c>
      <c r="R26" s="2">
        <v>17</v>
      </c>
      <c r="S26" s="2" t="s">
        <v>2</v>
      </c>
      <c r="T26" s="2">
        <v>18</v>
      </c>
    </row>
    <row r="27" spans="2:20" x14ac:dyDescent="0.2">
      <c r="C27" s="2" t="s">
        <v>3</v>
      </c>
      <c r="D27" s="2">
        <v>1.1000000000000001</v>
      </c>
      <c r="E27" s="2" t="s">
        <v>3</v>
      </c>
      <c r="F27" s="2">
        <v>1.1000000000000001</v>
      </c>
      <c r="G27" s="2" t="s">
        <v>3</v>
      </c>
      <c r="H27" s="2">
        <v>1.1000000000000001</v>
      </c>
      <c r="I27" s="2" t="s">
        <v>3</v>
      </c>
      <c r="J27" s="2">
        <v>1.1000000000000001</v>
      </c>
      <c r="K27" s="2" t="s">
        <v>3</v>
      </c>
      <c r="L27" s="2">
        <v>1.1000000000000001</v>
      </c>
      <c r="M27" s="2" t="s">
        <v>3</v>
      </c>
      <c r="N27" s="2">
        <v>1.1000000000000001</v>
      </c>
      <c r="O27" s="2" t="s">
        <v>3</v>
      </c>
      <c r="P27" s="2">
        <v>1.1000000000000001</v>
      </c>
      <c r="Q27" s="2" t="s">
        <v>3</v>
      </c>
      <c r="R27" s="2">
        <v>1.1000000000000001</v>
      </c>
      <c r="S27" s="2" t="s">
        <v>3</v>
      </c>
      <c r="T27" s="2">
        <v>1.1000000000000001</v>
      </c>
    </row>
    <row r="28" spans="2:20" x14ac:dyDescent="0.2">
      <c r="C28" s="2" t="s">
        <v>4</v>
      </c>
      <c r="D28" s="2">
        <v>0.7</v>
      </c>
      <c r="E28" s="2" t="s">
        <v>4</v>
      </c>
      <c r="F28" s="2">
        <v>0.7</v>
      </c>
      <c r="G28" s="2" t="s">
        <v>4</v>
      </c>
      <c r="H28" s="2">
        <v>0.7</v>
      </c>
      <c r="I28" s="2" t="s">
        <v>4</v>
      </c>
      <c r="J28" s="2">
        <v>0.7</v>
      </c>
      <c r="K28" s="2" t="s">
        <v>4</v>
      </c>
      <c r="L28" s="2">
        <v>0.7</v>
      </c>
      <c r="M28" s="2" t="s">
        <v>4</v>
      </c>
      <c r="N28" s="2">
        <v>0.7</v>
      </c>
      <c r="O28" s="2" t="s">
        <v>4</v>
      </c>
      <c r="P28" s="2">
        <v>0.7</v>
      </c>
      <c r="Q28" s="2" t="s">
        <v>4</v>
      </c>
      <c r="R28" s="2">
        <v>0.7</v>
      </c>
      <c r="S28" s="2" t="s">
        <v>4</v>
      </c>
      <c r="T28" s="2">
        <v>0.7</v>
      </c>
    </row>
    <row r="29" spans="2:20" x14ac:dyDescent="0.2">
      <c r="C29" s="2" t="s">
        <v>5</v>
      </c>
      <c r="D29" s="2">
        <f>C36</f>
        <v>2.483333333</v>
      </c>
      <c r="E29" s="2" t="s">
        <v>5</v>
      </c>
      <c r="F29" s="2">
        <f>E36</f>
        <v>1.95</v>
      </c>
      <c r="G29" s="2" t="s">
        <v>5</v>
      </c>
      <c r="H29" s="2">
        <f>G36</f>
        <v>1.8666666670000001</v>
      </c>
      <c r="I29" s="2" t="s">
        <v>5</v>
      </c>
      <c r="J29" s="2">
        <f>I36</f>
        <v>1.1666666670000001</v>
      </c>
      <c r="K29" s="2" t="s">
        <v>5</v>
      </c>
      <c r="L29" s="2">
        <f>K36</f>
        <v>3.2166666670000001</v>
      </c>
      <c r="M29" s="2" t="s">
        <v>5</v>
      </c>
      <c r="N29" s="2">
        <f>M36</f>
        <v>1.55</v>
      </c>
      <c r="O29" s="2" t="s">
        <v>5</v>
      </c>
      <c r="P29" s="2">
        <f>O36</f>
        <v>1.3666666670000001</v>
      </c>
      <c r="Q29" s="2" t="s">
        <v>5</v>
      </c>
      <c r="R29" s="2">
        <f>Q36</f>
        <v>2.016666667</v>
      </c>
      <c r="S29" s="2" t="s">
        <v>5</v>
      </c>
      <c r="T29" s="2">
        <f>S36</f>
        <v>3.15</v>
      </c>
    </row>
    <row r="30" spans="2:20" x14ac:dyDescent="0.2">
      <c r="C30" s="2" t="s">
        <v>6</v>
      </c>
      <c r="D30" s="2">
        <v>0.3</v>
      </c>
      <c r="E30" s="2" t="s">
        <v>6</v>
      </c>
      <c r="F30" s="2">
        <v>0.3</v>
      </c>
      <c r="G30" s="2" t="s">
        <v>6</v>
      </c>
      <c r="H30" s="2">
        <v>0.3</v>
      </c>
      <c r="I30" s="2" t="s">
        <v>6</v>
      </c>
      <c r="J30" s="2">
        <v>0.3</v>
      </c>
      <c r="K30" s="2" t="s">
        <v>6</v>
      </c>
      <c r="L30" s="2">
        <v>0.3</v>
      </c>
      <c r="M30" s="2" t="s">
        <v>6</v>
      </c>
      <c r="N30" s="2">
        <v>0</v>
      </c>
      <c r="O30" s="2" t="s">
        <v>6</v>
      </c>
      <c r="P30" s="2">
        <v>0</v>
      </c>
      <c r="Q30" s="2" t="s">
        <v>6</v>
      </c>
      <c r="S30" s="2" t="s">
        <v>6</v>
      </c>
    </row>
    <row r="31" spans="2:20" x14ac:dyDescent="0.2">
      <c r="C31" s="2" t="s">
        <v>6</v>
      </c>
      <c r="D31" s="2">
        <v>0</v>
      </c>
      <c r="E31" s="2" t="s">
        <v>6</v>
      </c>
      <c r="F31" s="2">
        <v>0</v>
      </c>
      <c r="G31" s="2" t="s">
        <v>6</v>
      </c>
      <c r="H31" s="2">
        <v>0</v>
      </c>
      <c r="I31" s="2" t="s">
        <v>6</v>
      </c>
      <c r="J31" s="2">
        <v>0</v>
      </c>
      <c r="K31" s="2" t="s">
        <v>6</v>
      </c>
      <c r="L31" s="2">
        <v>0.3</v>
      </c>
      <c r="M31" s="2" t="s">
        <v>6</v>
      </c>
      <c r="N31" s="2">
        <v>0</v>
      </c>
      <c r="O31" s="2" t="s">
        <v>6</v>
      </c>
      <c r="P31" s="2">
        <v>0</v>
      </c>
      <c r="Q31" s="2" t="s">
        <v>6</v>
      </c>
      <c r="S31" s="2" t="s">
        <v>6</v>
      </c>
    </row>
    <row r="32" spans="2:20" x14ac:dyDescent="0.2">
      <c r="C32" s="2" t="s">
        <v>7</v>
      </c>
      <c r="D32" s="2">
        <v>0.15</v>
      </c>
      <c r="E32" s="2" t="s">
        <v>7</v>
      </c>
      <c r="F32" s="2">
        <v>0.15</v>
      </c>
      <c r="G32" s="2" t="s">
        <v>7</v>
      </c>
      <c r="H32" s="2">
        <v>0.15</v>
      </c>
      <c r="I32" s="2" t="s">
        <v>7</v>
      </c>
      <c r="J32" s="2">
        <v>0.15</v>
      </c>
      <c r="K32" s="2" t="s">
        <v>7</v>
      </c>
      <c r="L32" s="2">
        <v>0.15</v>
      </c>
      <c r="M32" s="2" t="s">
        <v>7</v>
      </c>
      <c r="N32" s="2">
        <v>0.15</v>
      </c>
      <c r="O32" s="2" t="s">
        <v>7</v>
      </c>
      <c r="P32" s="2">
        <v>0.15</v>
      </c>
      <c r="Q32" s="2" t="s">
        <v>7</v>
      </c>
      <c r="R32" s="2">
        <v>0.15</v>
      </c>
      <c r="S32" s="2" t="s">
        <v>7</v>
      </c>
      <c r="T32" s="2">
        <v>0.15</v>
      </c>
    </row>
    <row r="33" spans="2:20" x14ac:dyDescent="0.2">
      <c r="C33" s="2" t="s">
        <v>9</v>
      </c>
      <c r="D33" s="2" t="s">
        <v>10</v>
      </c>
      <c r="E33" s="2" t="s">
        <v>9</v>
      </c>
      <c r="F33" s="2" t="s">
        <v>10</v>
      </c>
      <c r="G33" s="2" t="s">
        <v>9</v>
      </c>
      <c r="H33" s="2" t="s">
        <v>10</v>
      </c>
      <c r="I33" s="2" t="s">
        <v>9</v>
      </c>
      <c r="J33" s="2" t="s">
        <v>10</v>
      </c>
      <c r="K33" s="2" t="s">
        <v>9</v>
      </c>
      <c r="L33" s="2" t="s">
        <v>10</v>
      </c>
      <c r="M33" s="2" t="s">
        <v>9</v>
      </c>
      <c r="N33" s="2" t="s">
        <v>10</v>
      </c>
      <c r="O33" s="2" t="s">
        <v>9</v>
      </c>
      <c r="P33" s="2" t="s">
        <v>10</v>
      </c>
      <c r="Q33" s="2" t="s">
        <v>9</v>
      </c>
      <c r="R33" s="2" t="s">
        <v>10</v>
      </c>
      <c r="S33" s="2" t="s">
        <v>9</v>
      </c>
      <c r="T33" s="2" t="s">
        <v>10</v>
      </c>
    </row>
    <row r="34" spans="2:20" x14ac:dyDescent="0.2">
      <c r="B34" s="2" t="s">
        <v>11</v>
      </c>
      <c r="C34" s="2">
        <v>0.5</v>
      </c>
      <c r="D34" s="2">
        <v>1.2652699999999999</v>
      </c>
      <c r="E34" s="2">
        <v>0.5</v>
      </c>
      <c r="F34" s="2">
        <v>1.0362210000000001</v>
      </c>
      <c r="G34" s="2">
        <v>0.5</v>
      </c>
      <c r="H34" s="2">
        <v>0.91105700000000001</v>
      </c>
      <c r="I34" s="2">
        <v>0.5</v>
      </c>
      <c r="J34" s="2">
        <v>1.2067099999999999</v>
      </c>
      <c r="K34" s="2">
        <v>0.5</v>
      </c>
      <c r="L34" s="2">
        <v>0.73999800000000004</v>
      </c>
      <c r="M34" s="2">
        <v>0.5</v>
      </c>
      <c r="N34" s="2">
        <v>0.91861400000000004</v>
      </c>
      <c r="O34" s="2">
        <v>0.5</v>
      </c>
      <c r="P34" s="2">
        <v>0.56900799999999996</v>
      </c>
      <c r="Q34" s="2">
        <v>0.5</v>
      </c>
      <c r="R34" s="2">
        <v>1.0786</v>
      </c>
      <c r="S34" s="2">
        <v>0.5</v>
      </c>
      <c r="T34" s="2">
        <v>0.90129999999999999</v>
      </c>
    </row>
    <row r="35" spans="2:20" x14ac:dyDescent="0.2">
      <c r="B35" s="2" t="s">
        <v>12</v>
      </c>
      <c r="C35" s="2">
        <v>1</v>
      </c>
      <c r="D35" s="2">
        <v>0.68637999999999999</v>
      </c>
      <c r="E35" s="2">
        <v>1</v>
      </c>
      <c r="F35" s="2">
        <v>1.10256</v>
      </c>
      <c r="G35" s="2">
        <v>1</v>
      </c>
      <c r="H35" s="2">
        <v>0.50326499999999996</v>
      </c>
      <c r="I35" s="2">
        <v>1</v>
      </c>
      <c r="J35" s="2">
        <v>0.75408900000000001</v>
      </c>
      <c r="K35" s="2">
        <v>1</v>
      </c>
      <c r="L35" s="2">
        <v>0.436919</v>
      </c>
      <c r="M35" s="2">
        <v>1</v>
      </c>
      <c r="N35" s="2">
        <v>0.63199099999999997</v>
      </c>
      <c r="O35" s="2">
        <v>1</v>
      </c>
      <c r="P35" s="2">
        <v>0.23697299999999999</v>
      </c>
      <c r="Q35" s="2">
        <v>1</v>
      </c>
      <c r="R35" s="2">
        <v>0.672431</v>
      </c>
      <c r="S35" s="2">
        <v>1</v>
      </c>
      <c r="T35" s="2">
        <v>0.36614400000000002</v>
      </c>
    </row>
    <row r="36" spans="2:20" x14ac:dyDescent="0.2">
      <c r="B36" s="2" t="s">
        <v>13</v>
      </c>
      <c r="C36" s="2">
        <v>2.483333333</v>
      </c>
      <c r="D36" s="2">
        <v>0.24942</v>
      </c>
      <c r="E36" s="2">
        <v>1.95</v>
      </c>
      <c r="F36" s="2">
        <v>0.58735999999999999</v>
      </c>
      <c r="G36" s="2">
        <v>1.8666666670000001</v>
      </c>
      <c r="H36" s="2">
        <v>0.18098400000000001</v>
      </c>
      <c r="I36" s="2">
        <v>1.1666666670000001</v>
      </c>
      <c r="J36" s="2">
        <v>0.27881499999999998</v>
      </c>
      <c r="K36" s="2">
        <v>3.2166666670000001</v>
      </c>
      <c r="L36" s="2">
        <v>0.18740299999999999</v>
      </c>
      <c r="M36" s="2">
        <v>1.55</v>
      </c>
      <c r="N36" s="2">
        <v>0.28556100000000001</v>
      </c>
      <c r="O36" s="2">
        <v>1.3666666670000001</v>
      </c>
      <c r="P36" s="2">
        <v>0.13563</v>
      </c>
      <c r="Q36" s="2">
        <v>2.016666667</v>
      </c>
      <c r="R36" s="2">
        <v>0.290155</v>
      </c>
      <c r="S36" s="2">
        <v>3.15</v>
      </c>
      <c r="T36" s="2">
        <v>0.24471300000000001</v>
      </c>
    </row>
    <row r="37" spans="2:20" x14ac:dyDescent="0.2">
      <c r="B37" s="2" t="s">
        <v>14</v>
      </c>
      <c r="C37" s="2">
        <v>2.5333333329999999</v>
      </c>
      <c r="D37" s="2">
        <v>0.47528900000000002</v>
      </c>
      <c r="E37" s="2">
        <v>2</v>
      </c>
      <c r="F37" s="2">
        <v>0.74041999999999997</v>
      </c>
      <c r="G37" s="2">
        <v>1.9166666670000001</v>
      </c>
      <c r="H37" s="2">
        <v>0.34007500000000002</v>
      </c>
      <c r="I37" s="2">
        <v>1.2166666669999999</v>
      </c>
      <c r="J37" s="2">
        <v>0.46188800000000002</v>
      </c>
      <c r="K37" s="2">
        <v>3.266666667</v>
      </c>
      <c r="L37" s="2">
        <v>0.34953400000000001</v>
      </c>
      <c r="M37" s="2">
        <v>1.6</v>
      </c>
      <c r="N37" s="2">
        <v>0.45203300000000002</v>
      </c>
      <c r="O37" s="2">
        <v>1.4166666670000001</v>
      </c>
      <c r="P37" s="2">
        <v>0.35164899999999999</v>
      </c>
      <c r="Q37" s="2">
        <v>2.0666666669999998</v>
      </c>
      <c r="R37" s="2">
        <v>0.51095599999999997</v>
      </c>
      <c r="S37" s="2">
        <v>3.2</v>
      </c>
      <c r="T37" s="2">
        <v>0.427508</v>
      </c>
    </row>
    <row r="38" spans="2:20" x14ac:dyDescent="0.2">
      <c r="B38" s="2" t="s">
        <v>15</v>
      </c>
      <c r="C38" s="2">
        <v>2.5833333330000001</v>
      </c>
      <c r="D38" s="2">
        <v>0.453762</v>
      </c>
      <c r="E38" s="2">
        <v>2.0499999999999998</v>
      </c>
      <c r="F38" s="2">
        <v>0.69545900000000005</v>
      </c>
      <c r="G38" s="2">
        <v>1.9666666669999999</v>
      </c>
      <c r="H38" s="2">
        <v>0.29019400000000001</v>
      </c>
      <c r="I38" s="2">
        <v>1.266666667</v>
      </c>
      <c r="J38" s="2">
        <v>0.40740599999999999</v>
      </c>
      <c r="K38" s="2">
        <v>3.3166666669999998</v>
      </c>
      <c r="L38" s="2">
        <v>0.29968800000000001</v>
      </c>
      <c r="M38" s="2">
        <v>1.65</v>
      </c>
      <c r="N38" s="2">
        <v>0.40468300000000001</v>
      </c>
      <c r="O38" s="2">
        <v>1.4666666669999999</v>
      </c>
      <c r="P38" s="2">
        <v>0.26353399999999999</v>
      </c>
      <c r="Q38" s="2">
        <v>2.1166666670000001</v>
      </c>
      <c r="R38" s="2">
        <v>0.445218</v>
      </c>
      <c r="S38" s="2">
        <v>3.25</v>
      </c>
      <c r="T38" s="2">
        <v>0.57329699999999995</v>
      </c>
    </row>
    <row r="39" spans="2:20" x14ac:dyDescent="0.2">
      <c r="B39" s="2" t="s">
        <v>16</v>
      </c>
      <c r="C39" s="2">
        <v>2.6333333329999999</v>
      </c>
      <c r="D39" s="2">
        <v>0.34314099999999997</v>
      </c>
      <c r="E39" s="2">
        <v>2.1</v>
      </c>
      <c r="F39" s="2">
        <v>0.65329999999999999</v>
      </c>
      <c r="G39" s="2">
        <v>2.016666667</v>
      </c>
      <c r="H39" s="2">
        <v>0.24768999999999999</v>
      </c>
      <c r="I39" s="2">
        <v>1.316666667</v>
      </c>
      <c r="J39" s="2">
        <v>0.459449</v>
      </c>
      <c r="K39" s="2">
        <v>3.3666666670000001</v>
      </c>
      <c r="L39" s="2">
        <v>0.35700599999999999</v>
      </c>
      <c r="M39" s="2">
        <v>1.7</v>
      </c>
      <c r="N39" s="2">
        <v>0.37236900000000001</v>
      </c>
      <c r="O39" s="2">
        <v>1.516666667</v>
      </c>
      <c r="P39" s="2">
        <v>0.197598</v>
      </c>
      <c r="Q39" s="2">
        <v>2.1666666669999999</v>
      </c>
      <c r="R39" s="2">
        <v>0.30804500000000001</v>
      </c>
      <c r="S39" s="2">
        <v>3.3</v>
      </c>
      <c r="T39" s="2">
        <v>0.32605099999999998</v>
      </c>
    </row>
    <row r="40" spans="2:20" x14ac:dyDescent="0.2">
      <c r="B40" s="2" t="s">
        <v>17</v>
      </c>
      <c r="C40" s="2">
        <v>2.6833333330000002</v>
      </c>
      <c r="D40" s="2">
        <v>0.29176299999999999</v>
      </c>
      <c r="E40" s="2">
        <v>2.15</v>
      </c>
      <c r="F40" s="2">
        <v>0.41376800000000002</v>
      </c>
      <c r="G40" s="2">
        <v>2.0666666669999998</v>
      </c>
      <c r="H40" s="2">
        <v>0.21147299999999999</v>
      </c>
      <c r="I40" s="2">
        <v>1.3666666670000001</v>
      </c>
      <c r="J40" s="2">
        <v>0.31723400000000002</v>
      </c>
      <c r="K40" s="2">
        <v>3.4166666669999999</v>
      </c>
      <c r="L40" s="2">
        <v>0.22045699999999999</v>
      </c>
      <c r="M40" s="2">
        <v>1.75</v>
      </c>
      <c r="N40" s="2">
        <v>0.30455599999999999</v>
      </c>
      <c r="O40" s="2">
        <v>1.566666667</v>
      </c>
      <c r="P40" s="2">
        <v>0.148258</v>
      </c>
      <c r="Q40" s="2">
        <v>2.2166666670000001</v>
      </c>
      <c r="R40" s="2">
        <v>0.33832299999999998</v>
      </c>
      <c r="S40" s="2">
        <v>3.35</v>
      </c>
      <c r="T40" s="2">
        <v>0.28487400000000002</v>
      </c>
    </row>
    <row r="41" spans="2:20" x14ac:dyDescent="0.2">
      <c r="B41" s="2" t="s">
        <v>18</v>
      </c>
      <c r="C41" s="2">
        <v>2.733333333</v>
      </c>
      <c r="D41" s="2">
        <v>0.24821599999999999</v>
      </c>
      <c r="E41" s="2">
        <v>2.2000000000000002</v>
      </c>
      <c r="F41" s="2">
        <v>0.57669899999999996</v>
      </c>
      <c r="G41" s="2">
        <v>2.1166666670000001</v>
      </c>
      <c r="H41" s="2">
        <v>0.10061</v>
      </c>
      <c r="I41" s="2">
        <v>1.4166666670000001</v>
      </c>
      <c r="J41" s="2">
        <v>0.20807400000000001</v>
      </c>
      <c r="K41" s="2">
        <v>3.4666666670000001</v>
      </c>
      <c r="L41" s="2">
        <v>8.9161000000000004E-2</v>
      </c>
      <c r="M41" s="2">
        <v>1.8</v>
      </c>
      <c r="N41" s="2">
        <v>0.25076300000000001</v>
      </c>
      <c r="O41" s="2">
        <v>1.6166666670000001</v>
      </c>
      <c r="P41" s="2">
        <v>0.111336</v>
      </c>
      <c r="Q41" s="2">
        <v>2.266666667</v>
      </c>
      <c r="R41" s="2">
        <v>0.225078</v>
      </c>
      <c r="S41" s="2">
        <v>3.4</v>
      </c>
      <c r="T41" s="2">
        <v>0.34898499999999999</v>
      </c>
    </row>
    <row r="42" spans="2:20" x14ac:dyDescent="0.2">
      <c r="B42" s="2" t="s">
        <v>19</v>
      </c>
      <c r="C42" s="2">
        <v>2.8166666669999998</v>
      </c>
      <c r="D42" s="2">
        <v>0.19350200000000001</v>
      </c>
      <c r="E42" s="2">
        <v>2.2833333329999999</v>
      </c>
      <c r="F42" s="2">
        <v>0.47877399999999998</v>
      </c>
      <c r="G42" s="2">
        <v>2.2000000000000002</v>
      </c>
      <c r="H42" s="2">
        <v>0.112803</v>
      </c>
      <c r="I42" s="2">
        <v>1.5</v>
      </c>
      <c r="J42" s="2">
        <v>0.193213</v>
      </c>
      <c r="K42" s="2">
        <v>3.55</v>
      </c>
      <c r="L42" s="2">
        <v>0.119758</v>
      </c>
      <c r="M42" s="2">
        <v>1.8833333329999999</v>
      </c>
      <c r="N42" s="2">
        <v>0.20945</v>
      </c>
      <c r="O42" s="2">
        <v>1.7</v>
      </c>
      <c r="P42" s="2">
        <v>4.7553100000000001E-2</v>
      </c>
      <c r="Q42" s="2">
        <v>2.35</v>
      </c>
      <c r="R42" s="2">
        <v>0.1963</v>
      </c>
      <c r="S42" s="2">
        <v>3.483333333</v>
      </c>
      <c r="T42" s="2">
        <v>0.16667399999999999</v>
      </c>
    </row>
    <row r="43" spans="2:20" x14ac:dyDescent="0.2">
      <c r="B43" s="2" t="s">
        <v>20</v>
      </c>
      <c r="C43" s="2">
        <v>2.983333333</v>
      </c>
      <c r="D43" s="2">
        <v>0.15210360000000001</v>
      </c>
      <c r="E43" s="2">
        <v>2.9666666670000001</v>
      </c>
      <c r="F43" s="2">
        <v>0.29359499999999999</v>
      </c>
      <c r="G43" s="2">
        <v>2.6166666670000001</v>
      </c>
      <c r="H43" s="2">
        <v>3.8615900000000002E-2</v>
      </c>
      <c r="I43" s="2">
        <v>1.85</v>
      </c>
      <c r="J43" s="2">
        <v>0.10528800000000001</v>
      </c>
      <c r="K43" s="2">
        <v>3.6333333329999999</v>
      </c>
      <c r="L43" s="2">
        <v>0.10292800000000001</v>
      </c>
      <c r="M43" s="2">
        <v>2.733333333</v>
      </c>
      <c r="N43" s="2">
        <v>0.18789</v>
      </c>
      <c r="O43" s="2">
        <v>2.233333333</v>
      </c>
      <c r="P43" s="2">
        <v>9.5867599999999997E-3</v>
      </c>
      <c r="Q43" s="2">
        <v>3.2</v>
      </c>
      <c r="R43" s="2">
        <v>7.7774200000000002E-2</v>
      </c>
      <c r="S43" s="2">
        <v>3.8833333329999999</v>
      </c>
      <c r="T43" s="2">
        <v>9.8429199999999994E-2</v>
      </c>
    </row>
    <row r="45" spans="2:20" x14ac:dyDescent="0.2">
      <c r="B45" s="3" t="s">
        <v>21</v>
      </c>
      <c r="C45" s="3"/>
      <c r="D45" s="4">
        <f>AVERAGE(D37:D42)</f>
        <v>0.3342788333333333</v>
      </c>
      <c r="E45" s="4"/>
      <c r="F45" s="4">
        <f t="shared" ref="F45:R45" si="1">AVERAGE(F37:F42)</f>
        <v>0.59306999999999999</v>
      </c>
      <c r="G45" s="4"/>
      <c r="H45" s="4">
        <f t="shared" si="1"/>
        <v>0.21714083333333334</v>
      </c>
      <c r="I45" s="4"/>
      <c r="J45" s="4">
        <f t="shared" si="1"/>
        <v>0.34121066666666672</v>
      </c>
      <c r="K45" s="4"/>
      <c r="L45" s="4">
        <f t="shared" si="1"/>
        <v>0.2392673333333333</v>
      </c>
      <c r="M45" s="4"/>
      <c r="N45" s="4">
        <f t="shared" si="1"/>
        <v>0.33230900000000002</v>
      </c>
      <c r="O45" s="4"/>
      <c r="P45" s="4">
        <f t="shared" si="1"/>
        <v>0.18665468333333335</v>
      </c>
      <c r="Q45" s="4"/>
      <c r="R45" s="4">
        <f t="shared" si="1"/>
        <v>0.33732000000000001</v>
      </c>
      <c r="S45" s="4"/>
      <c r="T45" s="4">
        <f>AVERAGE(T37:T42)</f>
        <v>0.35456483333333333</v>
      </c>
    </row>
    <row r="46" spans="2:20" x14ac:dyDescent="0.2">
      <c r="C46" s="1"/>
    </row>
    <row r="47" spans="2:20" x14ac:dyDescent="0.2">
      <c r="C47" s="2" t="s">
        <v>1</v>
      </c>
      <c r="D47" s="2">
        <v>45311</v>
      </c>
      <c r="E47" s="2" t="s">
        <v>1</v>
      </c>
      <c r="F47" s="2">
        <v>46719</v>
      </c>
      <c r="G47" s="2" t="s">
        <v>1</v>
      </c>
      <c r="H47" s="2">
        <v>46466</v>
      </c>
      <c r="I47" s="2" t="s">
        <v>1</v>
      </c>
      <c r="J47" s="2">
        <v>46953</v>
      </c>
      <c r="K47" s="2" t="s">
        <v>1</v>
      </c>
      <c r="L47" s="2">
        <v>47204</v>
      </c>
      <c r="M47" s="2" t="s">
        <v>1</v>
      </c>
      <c r="N47" s="2">
        <v>45172</v>
      </c>
      <c r="O47" s="2" t="s">
        <v>1</v>
      </c>
      <c r="P47" s="2">
        <v>46756</v>
      </c>
      <c r="Q47" s="2" t="s">
        <v>1</v>
      </c>
      <c r="R47" s="2">
        <v>46791</v>
      </c>
      <c r="S47" s="2" t="s">
        <v>1</v>
      </c>
      <c r="T47" s="2">
        <v>46821</v>
      </c>
    </row>
    <row r="48" spans="2:20" x14ac:dyDescent="0.2">
      <c r="C48" s="2" t="s">
        <v>2</v>
      </c>
      <c r="D48" s="2">
        <v>19</v>
      </c>
      <c r="E48" s="2" t="s">
        <v>2</v>
      </c>
      <c r="F48" s="2">
        <v>20</v>
      </c>
      <c r="G48" s="2" t="s">
        <v>2</v>
      </c>
      <c r="H48" s="2">
        <v>21</v>
      </c>
      <c r="I48" s="2" t="s">
        <v>2</v>
      </c>
      <c r="J48" s="2">
        <v>22</v>
      </c>
      <c r="K48" s="2" t="s">
        <v>2</v>
      </c>
      <c r="L48" s="2">
        <v>23</v>
      </c>
      <c r="M48" s="2" t="s">
        <v>2</v>
      </c>
      <c r="N48" s="2">
        <v>24</v>
      </c>
      <c r="O48" s="2" t="s">
        <v>2</v>
      </c>
      <c r="P48" s="2">
        <v>25</v>
      </c>
      <c r="Q48" s="2" t="s">
        <v>2</v>
      </c>
      <c r="R48" s="2">
        <v>26</v>
      </c>
      <c r="S48" s="2" t="s">
        <v>2</v>
      </c>
      <c r="T48" s="2">
        <v>27</v>
      </c>
    </row>
    <row r="49" spans="2:20" x14ac:dyDescent="0.2">
      <c r="C49" s="2" t="s">
        <v>3</v>
      </c>
      <c r="D49" s="2">
        <v>1.1000000000000001</v>
      </c>
      <c r="E49" s="2" t="s">
        <v>3</v>
      </c>
      <c r="F49" s="2">
        <v>1.1000000000000001</v>
      </c>
      <c r="G49" s="2" t="s">
        <v>3</v>
      </c>
      <c r="H49" s="2">
        <v>1.1000000000000001</v>
      </c>
      <c r="I49" s="2" t="s">
        <v>3</v>
      </c>
      <c r="J49" s="2">
        <v>1.1000000000000001</v>
      </c>
      <c r="K49" s="2" t="s">
        <v>3</v>
      </c>
      <c r="L49" s="2">
        <v>1.1000000000000001</v>
      </c>
      <c r="M49" s="2" t="s">
        <v>3</v>
      </c>
      <c r="N49" s="2">
        <v>1.1000000000000001</v>
      </c>
      <c r="O49" s="2" t="s">
        <v>3</v>
      </c>
      <c r="P49" s="2">
        <v>1.1000000000000001</v>
      </c>
      <c r="Q49" s="2" t="s">
        <v>3</v>
      </c>
      <c r="R49" s="2">
        <v>1.1000000000000001</v>
      </c>
      <c r="S49" s="2" t="s">
        <v>3</v>
      </c>
      <c r="T49" s="2">
        <v>1.1000000000000001</v>
      </c>
    </row>
    <row r="50" spans="2:20" x14ac:dyDescent="0.2">
      <c r="C50" s="2" t="s">
        <v>4</v>
      </c>
      <c r="D50" s="2">
        <v>0.7</v>
      </c>
      <c r="E50" s="2" t="s">
        <v>4</v>
      </c>
      <c r="F50" s="2">
        <v>0.7</v>
      </c>
      <c r="G50" s="2" t="s">
        <v>4</v>
      </c>
      <c r="H50" s="2">
        <v>0.7</v>
      </c>
      <c r="I50" s="2" t="s">
        <v>4</v>
      </c>
      <c r="J50" s="2">
        <v>0.7</v>
      </c>
      <c r="K50" s="2" t="s">
        <v>4</v>
      </c>
      <c r="L50" s="2">
        <v>0.7</v>
      </c>
      <c r="M50" s="2" t="s">
        <v>4</v>
      </c>
      <c r="N50" s="2">
        <v>0.7</v>
      </c>
      <c r="O50" s="2" t="s">
        <v>4</v>
      </c>
      <c r="P50" s="2">
        <v>0.7</v>
      </c>
      <c r="Q50" s="2" t="s">
        <v>4</v>
      </c>
      <c r="R50" s="2">
        <v>0.7</v>
      </c>
      <c r="S50" s="2" t="s">
        <v>4</v>
      </c>
      <c r="T50" s="2">
        <v>0.7</v>
      </c>
    </row>
    <row r="51" spans="2:20" x14ac:dyDescent="0.2">
      <c r="C51" s="2" t="s">
        <v>5</v>
      </c>
      <c r="D51" s="2">
        <f>C58</f>
        <v>2.9166666669999999</v>
      </c>
      <c r="E51" s="2" t="s">
        <v>5</v>
      </c>
      <c r="F51" s="2">
        <f>E58</f>
        <v>2</v>
      </c>
      <c r="G51" s="2" t="s">
        <v>5</v>
      </c>
      <c r="H51" s="2">
        <f>G58</f>
        <v>2.0833333330000001</v>
      </c>
      <c r="I51" s="2" t="s">
        <v>5</v>
      </c>
      <c r="J51" s="2">
        <f>I58</f>
        <v>3.1833333330000002</v>
      </c>
      <c r="K51" s="2" t="s">
        <v>5</v>
      </c>
      <c r="L51" s="2">
        <f>K58</f>
        <v>1.8333333329999999</v>
      </c>
      <c r="M51" s="2" t="s">
        <v>5</v>
      </c>
      <c r="N51" s="2">
        <f>M58</f>
        <v>1.6666666670000001</v>
      </c>
      <c r="O51" s="2" t="s">
        <v>5</v>
      </c>
      <c r="P51" s="2">
        <f>O58</f>
        <v>1.433333333</v>
      </c>
      <c r="Q51" s="2" t="s">
        <v>5</v>
      </c>
      <c r="R51" s="2">
        <f>Q58</f>
        <v>1.266666667</v>
      </c>
      <c r="S51" s="2" t="s">
        <v>5</v>
      </c>
      <c r="T51" s="2">
        <f>S58</f>
        <v>2.2999999999999998</v>
      </c>
    </row>
    <row r="52" spans="2:20" x14ac:dyDescent="0.2">
      <c r="C52" s="2" t="s">
        <v>6</v>
      </c>
      <c r="D52" s="2">
        <v>0.3</v>
      </c>
      <c r="E52" s="2" t="s">
        <v>6</v>
      </c>
      <c r="F52" s="2">
        <v>0.3</v>
      </c>
      <c r="G52" s="2" t="s">
        <v>6</v>
      </c>
      <c r="H52" s="2">
        <v>0.3</v>
      </c>
      <c r="I52" s="2" t="s">
        <v>6</v>
      </c>
      <c r="J52" s="2">
        <v>0.3</v>
      </c>
      <c r="K52" s="2" t="s">
        <v>6</v>
      </c>
      <c r="L52" s="2">
        <v>0.3</v>
      </c>
      <c r="M52" s="2" t="s">
        <v>6</v>
      </c>
      <c r="N52" s="2">
        <v>0</v>
      </c>
      <c r="O52" s="2" t="s">
        <v>6</v>
      </c>
      <c r="P52" s="2">
        <v>0</v>
      </c>
      <c r="Q52" s="2" t="s">
        <v>6</v>
      </c>
      <c r="S52" s="2" t="s">
        <v>6</v>
      </c>
    </row>
    <row r="53" spans="2:20" x14ac:dyDescent="0.2">
      <c r="C53" s="2" t="s">
        <v>6</v>
      </c>
      <c r="D53" s="2">
        <v>0</v>
      </c>
      <c r="E53" s="2" t="s">
        <v>6</v>
      </c>
      <c r="F53" s="2">
        <v>0</v>
      </c>
      <c r="G53" s="2" t="s">
        <v>6</v>
      </c>
      <c r="H53" s="2">
        <v>0</v>
      </c>
      <c r="I53" s="2" t="s">
        <v>6</v>
      </c>
      <c r="J53" s="2">
        <v>0</v>
      </c>
      <c r="K53" s="2" t="s">
        <v>6</v>
      </c>
      <c r="L53" s="2">
        <v>0.3</v>
      </c>
      <c r="M53" s="2" t="s">
        <v>6</v>
      </c>
      <c r="N53" s="2">
        <v>0</v>
      </c>
      <c r="O53" s="2" t="s">
        <v>6</v>
      </c>
      <c r="P53" s="2">
        <v>0</v>
      </c>
      <c r="Q53" s="2" t="s">
        <v>6</v>
      </c>
      <c r="S53" s="2" t="s">
        <v>6</v>
      </c>
    </row>
    <row r="54" spans="2:20" x14ac:dyDescent="0.2">
      <c r="C54" s="2" t="s">
        <v>7</v>
      </c>
      <c r="D54" s="2">
        <v>0.3</v>
      </c>
      <c r="E54" s="2" t="s">
        <v>7</v>
      </c>
      <c r="F54" s="2">
        <v>0.3</v>
      </c>
      <c r="G54" s="2" t="s">
        <v>7</v>
      </c>
      <c r="H54" s="2">
        <v>0.3</v>
      </c>
      <c r="I54" s="2" t="s">
        <v>7</v>
      </c>
      <c r="J54" s="2">
        <v>0.3</v>
      </c>
      <c r="K54" s="2" t="s">
        <v>7</v>
      </c>
      <c r="L54" s="2">
        <v>0.3</v>
      </c>
      <c r="M54" s="2" t="s">
        <v>7</v>
      </c>
      <c r="N54" s="2">
        <v>0.3</v>
      </c>
      <c r="O54" s="2" t="s">
        <v>7</v>
      </c>
      <c r="P54" s="2">
        <v>0.3</v>
      </c>
      <c r="Q54" s="2" t="s">
        <v>7</v>
      </c>
      <c r="R54" s="2">
        <v>0.3</v>
      </c>
      <c r="S54" s="2" t="s">
        <v>7</v>
      </c>
      <c r="T54" s="2">
        <v>0.3</v>
      </c>
    </row>
    <row r="55" spans="2:20" x14ac:dyDescent="0.2">
      <c r="C55" s="2" t="s">
        <v>9</v>
      </c>
      <c r="D55" s="2" t="s">
        <v>10</v>
      </c>
      <c r="E55" s="2" t="s">
        <v>9</v>
      </c>
      <c r="F55" s="2" t="s">
        <v>10</v>
      </c>
      <c r="G55" s="2" t="s">
        <v>9</v>
      </c>
      <c r="H55" s="2" t="s">
        <v>10</v>
      </c>
      <c r="I55" s="2" t="s">
        <v>9</v>
      </c>
      <c r="J55" s="2" t="s">
        <v>10</v>
      </c>
      <c r="K55" s="2" t="s">
        <v>9</v>
      </c>
      <c r="L55" s="2" t="s">
        <v>10</v>
      </c>
      <c r="M55" s="2" t="s">
        <v>9</v>
      </c>
      <c r="N55" s="2" t="s">
        <v>10</v>
      </c>
      <c r="O55" s="2" t="s">
        <v>9</v>
      </c>
      <c r="P55" s="2" t="s">
        <v>10</v>
      </c>
      <c r="Q55" s="2" t="s">
        <v>9</v>
      </c>
      <c r="R55" s="2" t="s">
        <v>10</v>
      </c>
      <c r="S55" s="2" t="s">
        <v>9</v>
      </c>
      <c r="T55" s="2" t="s">
        <v>10</v>
      </c>
    </row>
    <row r="56" spans="2:20" x14ac:dyDescent="0.2">
      <c r="B56" s="2" t="s">
        <v>11</v>
      </c>
      <c r="C56" s="2">
        <v>0.5</v>
      </c>
      <c r="D56" s="2">
        <v>1.2434499999999999</v>
      </c>
      <c r="E56" s="2">
        <v>0.5</v>
      </c>
      <c r="F56" s="2">
        <v>1.1131500000000001</v>
      </c>
      <c r="G56" s="2">
        <v>0.5</v>
      </c>
      <c r="H56" s="2">
        <v>0.86427299999999996</v>
      </c>
      <c r="I56" s="2">
        <v>0.5</v>
      </c>
      <c r="J56" s="2">
        <v>1.1137699999999999</v>
      </c>
      <c r="K56" s="2">
        <v>0.5</v>
      </c>
      <c r="L56" s="2">
        <v>0.80329099999999998</v>
      </c>
      <c r="M56" s="2">
        <v>0.5</v>
      </c>
      <c r="N56" s="2">
        <v>0.91861400000000004</v>
      </c>
      <c r="O56" s="2">
        <v>0.5</v>
      </c>
      <c r="P56" s="2">
        <v>0.56900799999999996</v>
      </c>
      <c r="Q56" s="2">
        <v>0.5</v>
      </c>
      <c r="R56" s="2">
        <v>1.0786</v>
      </c>
      <c r="S56" s="2">
        <v>0.5</v>
      </c>
      <c r="T56" s="2">
        <v>0.90129999999999999</v>
      </c>
    </row>
    <row r="57" spans="2:20" x14ac:dyDescent="0.2">
      <c r="B57" s="2" t="s">
        <v>12</v>
      </c>
      <c r="C57" s="2">
        <v>1</v>
      </c>
      <c r="D57" s="2">
        <v>0.69764700000000002</v>
      </c>
      <c r="E57" s="2">
        <v>1</v>
      </c>
      <c r="F57" s="2">
        <v>0.93604100000000001</v>
      </c>
      <c r="G57" s="2">
        <v>1</v>
      </c>
      <c r="H57" s="2">
        <v>0.55266599999999999</v>
      </c>
      <c r="I57" s="2">
        <v>1</v>
      </c>
      <c r="J57" s="2">
        <v>0.74811099999999997</v>
      </c>
      <c r="K57" s="2">
        <v>1</v>
      </c>
      <c r="L57" s="2">
        <v>0.68894999999999995</v>
      </c>
      <c r="M57" s="2">
        <v>1</v>
      </c>
      <c r="N57" s="2">
        <v>0.63199099999999997</v>
      </c>
      <c r="O57" s="2">
        <v>1</v>
      </c>
      <c r="P57" s="2">
        <v>0.23697299999999999</v>
      </c>
      <c r="Q57" s="2">
        <v>1</v>
      </c>
      <c r="R57" s="2">
        <v>0.672431</v>
      </c>
      <c r="S57" s="2">
        <v>1</v>
      </c>
      <c r="T57" s="2">
        <v>0.56614399999999998</v>
      </c>
    </row>
    <row r="58" spans="2:20" x14ac:dyDescent="0.2">
      <c r="B58" s="2" t="s">
        <v>13</v>
      </c>
      <c r="C58" s="2">
        <v>2.9166666669999999</v>
      </c>
      <c r="D58" s="2">
        <v>0.25329400000000002</v>
      </c>
      <c r="E58" s="2">
        <v>2</v>
      </c>
      <c r="F58" s="2">
        <v>0.54833200000000004</v>
      </c>
      <c r="G58" s="2">
        <v>2.0833333330000001</v>
      </c>
      <c r="H58" s="2">
        <v>0.20610700000000001</v>
      </c>
      <c r="I58" s="2">
        <v>3.1833333330000002</v>
      </c>
      <c r="J58" s="2">
        <v>0.29274899999999998</v>
      </c>
      <c r="K58" s="2">
        <v>1.8333333329999999</v>
      </c>
      <c r="L58" s="2">
        <v>0.17773900000000001</v>
      </c>
      <c r="M58" s="2">
        <v>1.6666666670000001</v>
      </c>
      <c r="N58" s="2">
        <v>0.38556099999999999</v>
      </c>
      <c r="O58" s="2">
        <v>1.433333333</v>
      </c>
      <c r="P58" s="2">
        <v>0.13563</v>
      </c>
      <c r="Q58" s="2">
        <v>1.266666667</v>
      </c>
      <c r="R58" s="2">
        <v>0.290155</v>
      </c>
      <c r="S58" s="2">
        <v>2.2999999999999998</v>
      </c>
      <c r="T58" s="2">
        <v>0.24471300000000001</v>
      </c>
    </row>
    <row r="59" spans="2:20" x14ac:dyDescent="0.2">
      <c r="B59" s="2" t="s">
        <v>14</v>
      </c>
      <c r="C59" s="2">
        <v>2.9666666670000001</v>
      </c>
      <c r="D59" s="2">
        <v>0.70002500000000001</v>
      </c>
      <c r="E59" s="2">
        <v>2.0499999999999998</v>
      </c>
      <c r="F59" s="2">
        <v>0.80710499999999996</v>
      </c>
      <c r="G59" s="2">
        <v>2.1333333329999999</v>
      </c>
      <c r="H59" s="2">
        <v>0.47468100000000002</v>
      </c>
      <c r="I59" s="2">
        <v>3.233333333</v>
      </c>
      <c r="J59" s="2">
        <v>0.62119500000000005</v>
      </c>
      <c r="K59" s="2">
        <v>1.8833333329999999</v>
      </c>
      <c r="L59" s="2">
        <v>0.441131</v>
      </c>
      <c r="M59" s="2">
        <v>1.7166666669999999</v>
      </c>
      <c r="N59" s="2">
        <v>0.45203300000000002</v>
      </c>
      <c r="O59" s="2">
        <v>1.483333333</v>
      </c>
      <c r="P59" s="2">
        <v>0.35164899999999999</v>
      </c>
      <c r="Q59" s="2">
        <v>1.316666667</v>
      </c>
      <c r="R59" s="2">
        <v>0.51095599999999997</v>
      </c>
      <c r="S59" s="2">
        <v>2.35</v>
      </c>
      <c r="T59" s="2">
        <v>0.427508</v>
      </c>
    </row>
    <row r="60" spans="2:20" x14ac:dyDescent="0.2">
      <c r="B60" s="2" t="s">
        <v>15</v>
      </c>
      <c r="C60" s="2">
        <v>3.016666667</v>
      </c>
      <c r="D60" s="2">
        <v>0.59988799999999998</v>
      </c>
      <c r="E60" s="2">
        <v>2.1</v>
      </c>
      <c r="F60" s="2">
        <v>0.76466800000000001</v>
      </c>
      <c r="G60" s="2">
        <v>2.1833333330000002</v>
      </c>
      <c r="H60" s="2">
        <v>0.42083900000000002</v>
      </c>
      <c r="I60" s="2">
        <v>3.2833333329999999</v>
      </c>
      <c r="J60" s="2">
        <v>0.55778700000000003</v>
      </c>
      <c r="K60" s="2">
        <v>1.933333333</v>
      </c>
      <c r="L60" s="2">
        <v>0.38615899999999997</v>
      </c>
      <c r="M60" s="2">
        <v>1.766666667</v>
      </c>
      <c r="N60" s="2">
        <v>0.40468300000000001</v>
      </c>
      <c r="O60" s="2">
        <v>1.5333333330000001</v>
      </c>
      <c r="P60" s="2">
        <v>0.26353399999999999</v>
      </c>
      <c r="Q60" s="2">
        <v>1.3666666670000001</v>
      </c>
      <c r="R60" s="2">
        <v>0.445218</v>
      </c>
      <c r="S60" s="2">
        <v>2.4</v>
      </c>
      <c r="T60" s="2">
        <v>0.73297000000000001</v>
      </c>
    </row>
    <row r="61" spans="2:20" x14ac:dyDescent="0.2">
      <c r="B61" s="2" t="s">
        <v>16</v>
      </c>
      <c r="C61" s="2">
        <v>3.0666666669999998</v>
      </c>
      <c r="D61" s="2">
        <v>0.66424899999999998</v>
      </c>
      <c r="E61" s="2">
        <v>2.15</v>
      </c>
      <c r="F61" s="2">
        <v>0.624525</v>
      </c>
      <c r="G61" s="2">
        <v>2.233333333</v>
      </c>
      <c r="H61" s="2">
        <v>0.37315599999999999</v>
      </c>
      <c r="I61" s="2">
        <v>3.3333333330000001</v>
      </c>
      <c r="J61" s="2">
        <v>0.50095299999999998</v>
      </c>
      <c r="K61" s="2">
        <v>1.983333333</v>
      </c>
      <c r="L61" s="2">
        <v>0.308089</v>
      </c>
      <c r="M61" s="2">
        <v>1.816666667</v>
      </c>
      <c r="N61" s="2">
        <v>0.46236899999999997</v>
      </c>
      <c r="O61" s="2">
        <v>1.5833333329999999</v>
      </c>
      <c r="P61" s="2">
        <v>0.197598</v>
      </c>
      <c r="Q61" s="2">
        <v>1.4166666670000001</v>
      </c>
      <c r="R61" s="2">
        <v>0.38804499999999997</v>
      </c>
      <c r="S61" s="2">
        <v>2.4500000000000002</v>
      </c>
      <c r="T61" s="2">
        <v>0.32605099999999998</v>
      </c>
    </row>
    <row r="62" spans="2:20" x14ac:dyDescent="0.2">
      <c r="B62" s="2" t="s">
        <v>17</v>
      </c>
      <c r="C62" s="2">
        <v>3.1166666670000001</v>
      </c>
      <c r="D62" s="2">
        <v>0.44100899999999998</v>
      </c>
      <c r="E62" s="2">
        <v>2.2000000000000002</v>
      </c>
      <c r="F62" s="2">
        <v>0.68654999999999999</v>
      </c>
      <c r="G62" s="2">
        <v>2.2833333329999999</v>
      </c>
      <c r="H62" s="2">
        <v>0.23092599999999999</v>
      </c>
      <c r="I62" s="2">
        <v>3.3833333329999999</v>
      </c>
      <c r="J62" s="2">
        <v>0.45001000000000002</v>
      </c>
      <c r="K62" s="2">
        <v>2.0333333329999999</v>
      </c>
      <c r="L62" s="2">
        <v>0.226054</v>
      </c>
      <c r="M62" s="2">
        <v>1.8666666670000001</v>
      </c>
      <c r="N62" s="2">
        <v>0.32455600000000001</v>
      </c>
      <c r="O62" s="2">
        <v>1.6333333329999999</v>
      </c>
      <c r="P62" s="2">
        <v>0.24825800000000001</v>
      </c>
      <c r="Q62" s="2">
        <v>1.4666666669999999</v>
      </c>
      <c r="R62" s="2">
        <v>0.538323</v>
      </c>
      <c r="S62" s="2">
        <v>2.5</v>
      </c>
      <c r="T62" s="2">
        <v>0.28487400000000002</v>
      </c>
    </row>
    <row r="63" spans="2:20" x14ac:dyDescent="0.2">
      <c r="B63" s="2" t="s">
        <v>18</v>
      </c>
      <c r="C63" s="2">
        <v>3.1666666669999999</v>
      </c>
      <c r="D63" s="2">
        <v>0.77836899999999998</v>
      </c>
      <c r="E63" s="2">
        <v>2.25</v>
      </c>
      <c r="F63" s="2">
        <v>0.65062600000000004</v>
      </c>
      <c r="G63" s="2">
        <v>2.3333333330000001</v>
      </c>
      <c r="H63" s="2">
        <v>0.29352699999999998</v>
      </c>
      <c r="I63" s="2">
        <v>3.4333333330000002</v>
      </c>
      <c r="J63" s="2">
        <v>0.40434599999999998</v>
      </c>
      <c r="K63" s="2">
        <v>2.0833333330000001</v>
      </c>
      <c r="L63" s="2">
        <v>0.259295</v>
      </c>
      <c r="M63" s="2">
        <v>1.9166666670000001</v>
      </c>
      <c r="N63" s="2">
        <v>0.59076300000000004</v>
      </c>
      <c r="O63" s="2">
        <v>1.683333333</v>
      </c>
      <c r="P63" s="2">
        <v>0.151336</v>
      </c>
      <c r="Q63" s="2">
        <v>1.516666667</v>
      </c>
      <c r="R63" s="2">
        <v>0.29507800000000001</v>
      </c>
      <c r="S63" s="2">
        <v>2.5499999999999998</v>
      </c>
      <c r="T63" s="2">
        <v>0.24898500000000001</v>
      </c>
    </row>
    <row r="64" spans="2:20" x14ac:dyDescent="0.2">
      <c r="B64" s="2" t="s">
        <v>19</v>
      </c>
      <c r="C64" s="2">
        <v>3.25</v>
      </c>
      <c r="D64" s="2">
        <v>0.23978099999999999</v>
      </c>
      <c r="E64" s="2">
        <v>2.3333333330000001</v>
      </c>
      <c r="F64" s="2">
        <v>0.50407400000000002</v>
      </c>
      <c r="G64" s="2">
        <v>2.4166666669999999</v>
      </c>
      <c r="H64" s="2">
        <v>0.20508899999999999</v>
      </c>
      <c r="I64" s="2">
        <v>3.516666667</v>
      </c>
      <c r="J64" s="2">
        <v>0.29382900000000001</v>
      </c>
      <c r="K64" s="2">
        <v>2.1666666669999999</v>
      </c>
      <c r="L64" s="2">
        <v>0.174459</v>
      </c>
      <c r="M64" s="2">
        <v>2</v>
      </c>
      <c r="N64" s="2">
        <v>0.20945</v>
      </c>
      <c r="O64" s="2">
        <v>1.766666667</v>
      </c>
      <c r="P64" s="2">
        <v>0.1047531</v>
      </c>
      <c r="Q64" s="2">
        <v>1.6</v>
      </c>
      <c r="R64" s="2">
        <v>0.1963</v>
      </c>
      <c r="S64" s="2">
        <v>2.6333333329999999</v>
      </c>
      <c r="T64" s="2">
        <v>0.19667399999999999</v>
      </c>
    </row>
    <row r="65" spans="2:20" x14ac:dyDescent="0.2">
      <c r="B65" s="2" t="s">
        <v>20</v>
      </c>
      <c r="C65" s="2">
        <v>4.05</v>
      </c>
      <c r="D65" s="2">
        <v>5.6451899999999999E-2</v>
      </c>
      <c r="E65" s="2">
        <v>2.65</v>
      </c>
      <c r="F65" s="2">
        <v>0.403082</v>
      </c>
      <c r="G65" s="2">
        <v>3.15</v>
      </c>
      <c r="H65" s="2">
        <v>7.1286699999999995E-2</v>
      </c>
      <c r="I65" s="2">
        <v>4.0999999999999996</v>
      </c>
      <c r="J65" s="2">
        <v>0.104403</v>
      </c>
      <c r="K65" s="2">
        <v>2.2999999999999998</v>
      </c>
      <c r="L65" s="2">
        <v>0.11772000000000001</v>
      </c>
      <c r="M65" s="2">
        <v>2.483333333</v>
      </c>
      <c r="N65" s="2">
        <v>9.8926200000000006E-2</v>
      </c>
      <c r="O65" s="2">
        <v>2.0499999999999998</v>
      </c>
      <c r="P65" s="2">
        <v>8.0130199999999999E-2</v>
      </c>
      <c r="Q65" s="2">
        <v>1.766666667</v>
      </c>
      <c r="R65" s="2">
        <v>0.10083300000000001</v>
      </c>
      <c r="S65" s="2">
        <v>5.3833333330000004</v>
      </c>
      <c r="T65" s="2">
        <v>2.0579799999999999E-2</v>
      </c>
    </row>
    <row r="67" spans="2:20" x14ac:dyDescent="0.2">
      <c r="B67" s="3" t="s">
        <v>21</v>
      </c>
      <c r="C67" s="3"/>
      <c r="D67" s="4">
        <f>AVERAGE(D59:D64)</f>
        <v>0.57055350000000005</v>
      </c>
      <c r="E67" s="4"/>
      <c r="F67" s="4">
        <f t="shared" ref="F67:R67" si="2">AVERAGE(F59:F64)</f>
        <v>0.6729246666666665</v>
      </c>
      <c r="G67" s="4"/>
      <c r="H67" s="4">
        <f t="shared" si="2"/>
        <v>0.33303633333333332</v>
      </c>
      <c r="I67" s="4"/>
      <c r="J67" s="4">
        <f t="shared" si="2"/>
        <v>0.47135333333333335</v>
      </c>
      <c r="K67" s="4"/>
      <c r="L67" s="4">
        <f t="shared" si="2"/>
        <v>0.29919783333333333</v>
      </c>
      <c r="M67" s="4"/>
      <c r="N67" s="4">
        <f t="shared" si="2"/>
        <v>0.40730899999999998</v>
      </c>
      <c r="O67" s="4"/>
      <c r="P67" s="4">
        <f t="shared" si="2"/>
        <v>0.21952134999999998</v>
      </c>
      <c r="Q67" s="4"/>
      <c r="R67" s="4">
        <f t="shared" si="2"/>
        <v>0.39565333333333336</v>
      </c>
      <c r="S67" s="4"/>
      <c r="T67" s="4">
        <f>AVERAGE(T59:T64)</f>
        <v>0.36951033333333333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4616-B824-49E3-A1F6-C746CD070559}">
  <dimension ref="B2:Y46"/>
  <sheetViews>
    <sheetView tabSelected="1" topLeftCell="B1" zoomScale="132" workbookViewId="0">
      <selection activeCell="F6" sqref="F6"/>
    </sheetView>
  </sheetViews>
  <sheetFormatPr baseColWidth="10" defaultRowHeight="15" x14ac:dyDescent="0.2"/>
  <cols>
    <col min="15" max="15" width="25.6640625" customWidth="1"/>
    <col min="16" max="16" width="14.1640625" customWidth="1"/>
    <col min="19" max="19" width="6.83203125" customWidth="1"/>
    <col min="22" max="22" width="3.6640625" customWidth="1"/>
  </cols>
  <sheetData>
    <row r="2" spans="2:25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25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2:25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2:25" x14ac:dyDescent="0.2">
      <c r="B6" s="1" t="s">
        <v>38</v>
      </c>
      <c r="C6" s="1" t="s">
        <v>40</v>
      </c>
      <c r="D6" s="1" t="s">
        <v>11</v>
      </c>
      <c r="E6" s="1" t="s">
        <v>12</v>
      </c>
      <c r="F6" s="1" t="s">
        <v>43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41</v>
      </c>
      <c r="N6" s="1" t="s">
        <v>42</v>
      </c>
      <c r="O6" s="1"/>
      <c r="P6" s="1"/>
      <c r="Q6" s="1" t="s">
        <v>39</v>
      </c>
      <c r="R6" s="1" t="s">
        <v>22</v>
      </c>
      <c r="S6" s="1"/>
      <c r="T6" s="1" t="s">
        <v>39</v>
      </c>
      <c r="U6" s="1" t="s">
        <v>22</v>
      </c>
      <c r="V6" s="1"/>
      <c r="W6" s="1" t="s">
        <v>39</v>
      </c>
      <c r="X6" s="1" t="s">
        <v>22</v>
      </c>
      <c r="Y6" s="1"/>
    </row>
    <row r="7" spans="2:25" x14ac:dyDescent="0.2">
      <c r="B7" s="1">
        <v>1</v>
      </c>
      <c r="C7" s="1" t="s">
        <v>23</v>
      </c>
      <c r="D7" s="1">
        <v>1.1222000000000001</v>
      </c>
      <c r="E7" s="1">
        <v>0.67991299999999999</v>
      </c>
      <c r="F7" s="1">
        <v>0.25245200000000001</v>
      </c>
      <c r="G7" s="1">
        <v>0.206647</v>
      </c>
      <c r="H7" s="1">
        <v>0.23518800000000001</v>
      </c>
      <c r="I7" s="1">
        <v>0.18173400000000001</v>
      </c>
      <c r="J7" s="1">
        <v>0.14099600000000001</v>
      </c>
      <c r="K7" s="1">
        <v>0.15998499999999999</v>
      </c>
      <c r="L7" s="1">
        <v>9.7271800000000005E-2</v>
      </c>
      <c r="M7" s="1">
        <v>6.8089700000000003E-2</v>
      </c>
      <c r="N7" s="1">
        <v>0.17030363333333332</v>
      </c>
      <c r="O7" s="1"/>
      <c r="P7" s="1"/>
      <c r="Q7" s="1" t="s">
        <v>35</v>
      </c>
      <c r="R7" s="1" t="s">
        <v>35</v>
      </c>
      <c r="S7" s="1"/>
      <c r="T7" s="1" t="s">
        <v>36</v>
      </c>
      <c r="U7" s="1" t="s">
        <v>36</v>
      </c>
      <c r="V7" s="1"/>
      <c r="W7" s="1" t="s">
        <v>37</v>
      </c>
      <c r="X7" s="1" t="s">
        <v>37</v>
      </c>
      <c r="Y7" s="1"/>
    </row>
    <row r="8" spans="2:25" x14ac:dyDescent="0.2">
      <c r="B8" s="1">
        <v>2</v>
      </c>
      <c r="C8" s="1" t="s">
        <v>23</v>
      </c>
      <c r="D8" s="1">
        <v>1.22156</v>
      </c>
      <c r="E8" s="1">
        <v>0.98267899999999997</v>
      </c>
      <c r="F8" s="1">
        <v>0.52276500000000004</v>
      </c>
      <c r="G8" s="1">
        <v>0.50235600000000002</v>
      </c>
      <c r="H8" s="1">
        <v>0.472026</v>
      </c>
      <c r="I8" s="1">
        <v>0.40363700000000002</v>
      </c>
      <c r="J8" s="1">
        <v>0.38706400000000002</v>
      </c>
      <c r="K8" s="1">
        <v>0.39218599999999998</v>
      </c>
      <c r="L8" s="1">
        <v>0.32754299999999997</v>
      </c>
      <c r="M8" s="1">
        <v>0.27285399999999999</v>
      </c>
      <c r="N8" s="1">
        <v>0.41413533333333336</v>
      </c>
      <c r="O8" s="1"/>
      <c r="P8" s="1" t="s">
        <v>26</v>
      </c>
      <c r="Q8" s="1">
        <v>0.90960544444444458</v>
      </c>
      <c r="R8" s="1">
        <v>0.20259120778621501</v>
      </c>
      <c r="S8" s="1"/>
      <c r="T8" s="1">
        <v>0.95853088888888882</v>
      </c>
      <c r="U8" s="1">
        <v>0.21872965778755532</v>
      </c>
      <c r="V8" s="1"/>
      <c r="W8" s="1">
        <v>0.95616177777777778</v>
      </c>
      <c r="X8" s="1">
        <v>0.20406249490706108</v>
      </c>
      <c r="Y8" s="1"/>
    </row>
    <row r="9" spans="2:25" x14ac:dyDescent="0.2">
      <c r="B9" s="1">
        <v>3</v>
      </c>
      <c r="C9" s="5" t="s">
        <v>23</v>
      </c>
      <c r="D9" s="5">
        <v>0.86876900000000001</v>
      </c>
      <c r="E9" s="5">
        <v>0.50770000000000004</v>
      </c>
      <c r="F9" s="5">
        <v>0.18515999999999999</v>
      </c>
      <c r="G9" s="5">
        <v>0.17170099999999999</v>
      </c>
      <c r="H9" s="5">
        <v>0.19263</v>
      </c>
      <c r="I9" s="5">
        <v>0.129857</v>
      </c>
      <c r="J9" s="5">
        <v>0.18307300000000001</v>
      </c>
      <c r="K9" s="5">
        <v>7.9855410000000002E-2</v>
      </c>
      <c r="L9" s="5">
        <v>6.5719899999999998E-2</v>
      </c>
      <c r="M9" s="5">
        <v>3.0588199999999999E-2</v>
      </c>
      <c r="N9" s="5">
        <v>0.137139385</v>
      </c>
      <c r="O9" s="1"/>
      <c r="P9" s="1" t="s">
        <v>27</v>
      </c>
      <c r="Q9" s="1">
        <v>0.59704211111111105</v>
      </c>
      <c r="R9" s="1">
        <v>0.1939757566942612</v>
      </c>
      <c r="S9" s="1"/>
      <c r="T9" s="1">
        <v>0.59897244444444453</v>
      </c>
      <c r="U9" s="1">
        <v>0.25309631397459681</v>
      </c>
      <c r="V9" s="1"/>
      <c r="W9" s="1">
        <v>0.63677266666666676</v>
      </c>
      <c r="X9" s="1">
        <v>0.18761077156242897</v>
      </c>
      <c r="Y9" s="1"/>
    </row>
    <row r="10" spans="2:25" x14ac:dyDescent="0.2">
      <c r="B10" s="1">
        <v>4</v>
      </c>
      <c r="C10" s="5" t="s">
        <v>23</v>
      </c>
      <c r="D10" s="5">
        <v>1.0819000000000001</v>
      </c>
      <c r="E10" s="5">
        <v>0.71172299999999999</v>
      </c>
      <c r="F10" s="5">
        <v>0.27667399999999998</v>
      </c>
      <c r="G10" s="5">
        <v>0.25991700000000001</v>
      </c>
      <c r="H10" s="5">
        <v>0.20299</v>
      </c>
      <c r="I10" s="5">
        <v>0.208983</v>
      </c>
      <c r="J10" s="5">
        <v>0.18757499999999999</v>
      </c>
      <c r="K10" s="5">
        <v>0.16848299999999999</v>
      </c>
      <c r="L10" s="5">
        <v>8.2708000000000004E-2</v>
      </c>
      <c r="M10" s="5">
        <v>5.0444799999999998E-2</v>
      </c>
      <c r="N10" s="5">
        <v>0.18510933333333332</v>
      </c>
      <c r="O10" s="1"/>
      <c r="P10" s="1" t="s">
        <v>43</v>
      </c>
      <c r="Q10" s="1">
        <v>0.26342577777777776</v>
      </c>
      <c r="R10" s="1">
        <v>0.10924552792537751</v>
      </c>
      <c r="S10" s="1"/>
      <c r="T10" s="1">
        <v>0.27111566666666664</v>
      </c>
      <c r="U10" s="1">
        <v>0.13004644290406406</v>
      </c>
      <c r="V10" s="1"/>
      <c r="W10" s="1">
        <v>0.28158666666666665</v>
      </c>
      <c r="X10" s="1">
        <v>0.12354490967154425</v>
      </c>
      <c r="Y10" s="1"/>
    </row>
    <row r="11" spans="2:25" x14ac:dyDescent="0.2">
      <c r="B11" s="1">
        <v>5</v>
      </c>
      <c r="C11" s="5" t="s">
        <v>23</v>
      </c>
      <c r="D11" s="5">
        <v>0.701936</v>
      </c>
      <c r="E11" s="5">
        <v>0.43614799999999998</v>
      </c>
      <c r="F11" s="5">
        <v>0.18936600000000001</v>
      </c>
      <c r="G11" s="5">
        <v>0.17612700000000001</v>
      </c>
      <c r="H11" s="5">
        <v>0.153694</v>
      </c>
      <c r="I11" s="5">
        <v>0.13420599999999999</v>
      </c>
      <c r="J11" s="5">
        <v>0.11727600000000001</v>
      </c>
      <c r="K11" s="5">
        <v>0.102566</v>
      </c>
      <c r="L11" s="5">
        <v>6.9019800000000006E-2</v>
      </c>
      <c r="M11" s="5">
        <v>3.6659299999999999E-2</v>
      </c>
      <c r="N11" s="5">
        <v>0.12548146666666668</v>
      </c>
      <c r="O11" s="1"/>
      <c r="P11" s="1" t="s">
        <v>28</v>
      </c>
      <c r="Q11" s="1">
        <v>0.24434400000000001</v>
      </c>
      <c r="R11" s="1">
        <v>0.10805389523867255</v>
      </c>
      <c r="S11" s="1"/>
      <c r="T11" s="1">
        <v>0.45659466666666682</v>
      </c>
      <c r="U11" s="1">
        <v>0.12288649584067336</v>
      </c>
      <c r="V11" s="1"/>
      <c r="W11" s="1">
        <v>0.53180922222222238</v>
      </c>
      <c r="X11" s="1">
        <v>0.14734986313259427</v>
      </c>
      <c r="Y11" s="1"/>
    </row>
    <row r="12" spans="2:25" x14ac:dyDescent="0.2">
      <c r="B12" s="1">
        <v>6</v>
      </c>
      <c r="C12" s="5" t="s">
        <v>23</v>
      </c>
      <c r="D12" s="5">
        <v>0.83536900000000003</v>
      </c>
      <c r="E12" s="5">
        <v>0.59032300000000004</v>
      </c>
      <c r="F12" s="5">
        <v>0.27660800000000002</v>
      </c>
      <c r="G12" s="5">
        <v>0.26130300000000001</v>
      </c>
      <c r="H12" s="5">
        <v>0.33619599999999999</v>
      </c>
      <c r="I12" s="5">
        <v>0.21360799999999999</v>
      </c>
      <c r="J12" s="5">
        <v>0.19328300000000001</v>
      </c>
      <c r="K12" s="5">
        <v>0.27499299999999999</v>
      </c>
      <c r="L12" s="5">
        <v>0.13037399999999999</v>
      </c>
      <c r="M12" s="5">
        <v>6.1741799999999999E-2</v>
      </c>
      <c r="N12" s="5">
        <v>0.23495950000000002</v>
      </c>
      <c r="O12" s="1"/>
      <c r="P12" s="1" t="s">
        <v>29</v>
      </c>
      <c r="Q12" s="1">
        <v>0.24506155555555559</v>
      </c>
      <c r="R12" s="1">
        <v>0.11069446676111581</v>
      </c>
      <c r="S12" s="1"/>
      <c r="T12" s="1">
        <v>0.42591566666666669</v>
      </c>
      <c r="U12" s="1">
        <v>0.14010616443879276</v>
      </c>
      <c r="V12" s="1"/>
      <c r="W12" s="1">
        <v>0.50841622222222216</v>
      </c>
      <c r="X12" s="1">
        <v>0.16741879757047734</v>
      </c>
      <c r="Y12" s="1"/>
    </row>
    <row r="13" spans="2:25" x14ac:dyDescent="0.2">
      <c r="B13" s="1">
        <v>7</v>
      </c>
      <c r="C13" s="5" t="s">
        <v>23</v>
      </c>
      <c r="D13" s="5">
        <v>0.59853100000000004</v>
      </c>
      <c r="E13" s="5">
        <v>0.29009000000000001</v>
      </c>
      <c r="F13" s="5">
        <v>0.14000000000000001</v>
      </c>
      <c r="G13" s="5">
        <v>0.12554699999999999</v>
      </c>
      <c r="H13" s="5">
        <v>0.101231</v>
      </c>
      <c r="I13" s="5">
        <v>8.1748000000000001E-2</v>
      </c>
      <c r="J13" s="5">
        <v>6.6136100000000003E-2</v>
      </c>
      <c r="K13" s="5">
        <v>5.3623799999999999E-2</v>
      </c>
      <c r="L13" s="5">
        <v>3.9100099999999999E-2</v>
      </c>
      <c r="M13" s="5">
        <v>4.1590299999999997E-2</v>
      </c>
      <c r="N13" s="5">
        <v>7.7897666666666657E-2</v>
      </c>
      <c r="O13" s="1"/>
      <c r="P13" s="1" t="s">
        <v>30</v>
      </c>
      <c r="Q13" s="1">
        <v>0.19417666666666669</v>
      </c>
      <c r="R13" s="1">
        <v>9.0544528653033446E-2</v>
      </c>
      <c r="S13" s="1"/>
      <c r="T13" s="1">
        <v>0.36273877777777774</v>
      </c>
      <c r="U13" s="1">
        <v>0.13187753309204897</v>
      </c>
      <c r="V13" s="1"/>
      <c r="W13" s="1">
        <v>0.42722611111111108</v>
      </c>
      <c r="X13" s="1">
        <v>0.15140807373902204</v>
      </c>
      <c r="Y13" s="1"/>
    </row>
    <row r="14" spans="2:25" x14ac:dyDescent="0.2">
      <c r="B14" s="1">
        <v>8</v>
      </c>
      <c r="C14" s="5" t="s">
        <v>23</v>
      </c>
      <c r="D14" s="5">
        <v>0.93762900000000005</v>
      </c>
      <c r="E14" s="5">
        <v>0.63188800000000001</v>
      </c>
      <c r="F14" s="5">
        <v>0.28517999999999999</v>
      </c>
      <c r="G14" s="5">
        <v>0.26796399999999998</v>
      </c>
      <c r="H14" s="5">
        <v>0.20929500000000001</v>
      </c>
      <c r="I14" s="5">
        <v>0.21382899999999999</v>
      </c>
      <c r="J14" s="5">
        <v>0.16120599999999999</v>
      </c>
      <c r="K14" s="5">
        <v>0.12110600000000001</v>
      </c>
      <c r="L14" s="5">
        <v>8.3264000000000005E-2</v>
      </c>
      <c r="M14" s="5">
        <v>4.9292000000000002E-2</v>
      </c>
      <c r="N14" s="5">
        <v>0.17611066666666667</v>
      </c>
      <c r="O14" s="1"/>
      <c r="P14" s="1" t="s">
        <v>31</v>
      </c>
      <c r="Q14" s="1">
        <v>0.17742845555555556</v>
      </c>
      <c r="R14" s="1">
        <v>8.819243301705533E-2</v>
      </c>
      <c r="S14" s="1"/>
      <c r="T14" s="1">
        <v>0.28118955555555553</v>
      </c>
      <c r="U14" s="1">
        <v>7.8287514849289974E-2</v>
      </c>
      <c r="V14" s="1"/>
      <c r="W14" s="1">
        <v>0.38117333333333331</v>
      </c>
      <c r="X14" s="1">
        <v>0.15931555109985346</v>
      </c>
      <c r="Y14" s="1"/>
    </row>
    <row r="15" spans="2:25" x14ac:dyDescent="0.2">
      <c r="B15" s="1">
        <v>9</v>
      </c>
      <c r="C15" s="5" t="s">
        <v>23</v>
      </c>
      <c r="D15" s="5">
        <v>0.81855500000000003</v>
      </c>
      <c r="E15" s="5">
        <v>0.54291500000000004</v>
      </c>
      <c r="F15" s="5">
        <v>0.24262700000000001</v>
      </c>
      <c r="G15" s="5">
        <v>0.22753399999999999</v>
      </c>
      <c r="H15" s="5">
        <v>0.30230400000000002</v>
      </c>
      <c r="I15" s="5">
        <v>0.17998800000000001</v>
      </c>
      <c r="J15" s="5">
        <v>0.160247</v>
      </c>
      <c r="K15" s="5">
        <v>0.102783</v>
      </c>
      <c r="L15" s="5">
        <v>0.101547</v>
      </c>
      <c r="M15" s="5">
        <v>4.7835500000000003E-2</v>
      </c>
      <c r="N15" s="5">
        <v>0.17906716666666667</v>
      </c>
      <c r="O15" s="1"/>
      <c r="P15" s="1" t="s">
        <v>32</v>
      </c>
      <c r="Q15" s="1">
        <v>0.16173124555555554</v>
      </c>
      <c r="R15" s="1">
        <v>0.10782100860462301</v>
      </c>
      <c r="S15" s="1"/>
      <c r="T15" s="1">
        <v>0.23988022222222222</v>
      </c>
      <c r="U15" s="1">
        <v>0.15223563109845353</v>
      </c>
      <c r="V15" s="1"/>
      <c r="W15" s="1">
        <v>0.4080361111111111</v>
      </c>
      <c r="X15" s="1">
        <v>0.21464710228212053</v>
      </c>
      <c r="Y15" s="1"/>
    </row>
    <row r="16" spans="2:25" x14ac:dyDescent="0.2">
      <c r="B16" s="1">
        <v>10</v>
      </c>
      <c r="C16" s="5" t="s">
        <v>24</v>
      </c>
      <c r="D16" s="5">
        <v>1.2652699999999999</v>
      </c>
      <c r="E16" s="5">
        <v>0.68637999999999999</v>
      </c>
      <c r="F16" s="5">
        <v>0.24942</v>
      </c>
      <c r="G16" s="5">
        <v>0.47528900000000002</v>
      </c>
      <c r="H16" s="5">
        <v>0.453762</v>
      </c>
      <c r="I16" s="5">
        <v>0.34314099999999997</v>
      </c>
      <c r="J16" s="5">
        <v>0.29176299999999999</v>
      </c>
      <c r="K16" s="5">
        <v>0.24821599999999999</v>
      </c>
      <c r="L16" s="5">
        <v>0.19350200000000001</v>
      </c>
      <c r="M16" s="5">
        <v>0.15210360000000001</v>
      </c>
      <c r="N16" s="5">
        <v>0.3342788333333333</v>
      </c>
      <c r="O16" s="1"/>
      <c r="P16" s="1" t="s">
        <v>33</v>
      </c>
      <c r="Q16" s="1">
        <v>0.11072751111111111</v>
      </c>
      <c r="R16" s="1">
        <v>8.5216870678250151E-2</v>
      </c>
      <c r="S16" s="1"/>
      <c r="T16" s="1">
        <v>0.19089189999999998</v>
      </c>
      <c r="U16" s="1">
        <v>0.12018339139993517</v>
      </c>
      <c r="V16" s="1"/>
      <c r="W16" s="1">
        <v>0.23604545555555553</v>
      </c>
      <c r="X16" s="1">
        <v>0.11237114855454573</v>
      </c>
      <c r="Y16" s="1"/>
    </row>
    <row r="17" spans="2:25" x14ac:dyDescent="0.2">
      <c r="B17" s="1">
        <v>11</v>
      </c>
      <c r="C17" s="5" t="s">
        <v>24</v>
      </c>
      <c r="D17" s="5">
        <v>1.0362210000000001</v>
      </c>
      <c r="E17" s="5">
        <v>1.10256</v>
      </c>
      <c r="F17" s="5">
        <v>0.58735999999999999</v>
      </c>
      <c r="G17" s="5">
        <v>0.74041999999999997</v>
      </c>
      <c r="H17" s="5">
        <v>0.69545900000000005</v>
      </c>
      <c r="I17" s="5">
        <v>0.65329999999999999</v>
      </c>
      <c r="J17" s="5">
        <v>0.41376800000000002</v>
      </c>
      <c r="K17" s="5">
        <v>0.57669899999999996</v>
      </c>
      <c r="L17" s="5">
        <v>0.47877399999999998</v>
      </c>
      <c r="M17" s="5">
        <v>0.29359499999999999</v>
      </c>
      <c r="N17" s="5">
        <v>0.59306999999999999</v>
      </c>
      <c r="O17" s="1"/>
      <c r="P17" s="1" t="s">
        <v>34</v>
      </c>
      <c r="Q17" s="1">
        <v>7.3232844444444445E-2</v>
      </c>
      <c r="R17" s="1">
        <v>7.5747959016746955E-2</v>
      </c>
      <c r="S17" s="1"/>
      <c r="T17" s="1">
        <v>0.11846785111111112</v>
      </c>
      <c r="U17" s="1">
        <v>8.4649615299176126E-2</v>
      </c>
      <c r="V17" s="1"/>
      <c r="W17" s="1">
        <v>0.11704586666666666</v>
      </c>
      <c r="X17" s="1">
        <v>0.11124418190699907</v>
      </c>
      <c r="Y17" s="1"/>
    </row>
    <row r="18" spans="2:25" x14ac:dyDescent="0.2">
      <c r="B18" s="1">
        <v>12</v>
      </c>
      <c r="C18" s="5" t="s">
        <v>24</v>
      </c>
      <c r="D18" s="5">
        <v>0.91105700000000001</v>
      </c>
      <c r="E18" s="5">
        <v>0.50326499999999996</v>
      </c>
      <c r="F18" s="5">
        <v>0.18098400000000001</v>
      </c>
      <c r="G18" s="5">
        <v>0.34007500000000002</v>
      </c>
      <c r="H18" s="5">
        <v>0.29019400000000001</v>
      </c>
      <c r="I18" s="5">
        <v>0.24768999999999999</v>
      </c>
      <c r="J18" s="5">
        <v>0.21147299999999999</v>
      </c>
      <c r="K18" s="5">
        <v>0.10061</v>
      </c>
      <c r="L18" s="5">
        <v>0.112803</v>
      </c>
      <c r="M18" s="5">
        <v>3.8615900000000002E-2</v>
      </c>
      <c r="N18" s="5">
        <v>0.21714083333333334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2">
      <c r="B19" s="1">
        <v>13</v>
      </c>
      <c r="C19" s="5" t="s">
        <v>24</v>
      </c>
      <c r="D19" s="5">
        <v>1.2067099999999999</v>
      </c>
      <c r="E19" s="5">
        <v>0.75408900000000001</v>
      </c>
      <c r="F19" s="5">
        <v>0.27881499999999998</v>
      </c>
      <c r="G19" s="5">
        <v>0.46188800000000002</v>
      </c>
      <c r="H19" s="5">
        <v>0.40740599999999999</v>
      </c>
      <c r="I19" s="5">
        <v>0.459449</v>
      </c>
      <c r="J19" s="5">
        <v>0.31723400000000002</v>
      </c>
      <c r="K19" s="5">
        <v>0.20807400000000001</v>
      </c>
      <c r="L19" s="5">
        <v>0.193213</v>
      </c>
      <c r="M19" s="5">
        <v>0.10528800000000001</v>
      </c>
      <c r="N19" s="5">
        <v>0.34121066666666672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x14ac:dyDescent="0.2">
      <c r="B20" s="1">
        <v>14</v>
      </c>
      <c r="C20" s="5" t="s">
        <v>24</v>
      </c>
      <c r="D20" s="5">
        <v>0.73999800000000004</v>
      </c>
      <c r="E20" s="5">
        <v>0.436919</v>
      </c>
      <c r="F20" s="5">
        <v>0.18740299999999999</v>
      </c>
      <c r="G20" s="5">
        <v>0.34953400000000001</v>
      </c>
      <c r="H20" s="5">
        <v>0.29968800000000001</v>
      </c>
      <c r="I20" s="5">
        <v>0.35700599999999999</v>
      </c>
      <c r="J20" s="5">
        <v>0.22045699999999999</v>
      </c>
      <c r="K20" s="5">
        <v>8.9161000000000004E-2</v>
      </c>
      <c r="L20" s="5">
        <v>0.119758</v>
      </c>
      <c r="M20" s="5">
        <v>0.10292800000000001</v>
      </c>
      <c r="N20" s="5">
        <v>0.2392673333333333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x14ac:dyDescent="0.2">
      <c r="B21" s="1">
        <v>15</v>
      </c>
      <c r="C21" s="5" t="s">
        <v>24</v>
      </c>
      <c r="D21" s="5">
        <v>0.91861400000000004</v>
      </c>
      <c r="E21" s="5">
        <v>0.63199099999999997</v>
      </c>
      <c r="F21" s="5">
        <v>0.28556100000000001</v>
      </c>
      <c r="G21" s="5">
        <v>0.45203300000000002</v>
      </c>
      <c r="H21" s="5">
        <v>0.40468300000000001</v>
      </c>
      <c r="I21" s="5">
        <v>0.37236900000000001</v>
      </c>
      <c r="J21" s="5">
        <v>0.30455599999999999</v>
      </c>
      <c r="K21" s="5">
        <v>0.25076300000000001</v>
      </c>
      <c r="L21" s="5">
        <v>0.20945</v>
      </c>
      <c r="M21" s="5">
        <v>0.18789</v>
      </c>
      <c r="N21" s="5">
        <v>0.33230900000000002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x14ac:dyDescent="0.2">
      <c r="B22" s="1">
        <v>16</v>
      </c>
      <c r="C22" s="5" t="s">
        <v>24</v>
      </c>
      <c r="D22" s="5">
        <v>0.56900799999999996</v>
      </c>
      <c r="E22" s="5">
        <v>0.23697299999999999</v>
      </c>
      <c r="F22" s="5">
        <v>0.13563</v>
      </c>
      <c r="G22" s="5">
        <v>0.35164899999999999</v>
      </c>
      <c r="H22" s="5">
        <v>0.26353399999999999</v>
      </c>
      <c r="I22" s="5">
        <v>0.197598</v>
      </c>
      <c r="J22" s="5">
        <v>0.148258</v>
      </c>
      <c r="K22" s="5">
        <v>0.111336</v>
      </c>
      <c r="L22" s="5">
        <v>4.7553100000000001E-2</v>
      </c>
      <c r="M22" s="5">
        <v>9.5867599999999997E-3</v>
      </c>
      <c r="N22" s="5">
        <v>0.18665468333333335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x14ac:dyDescent="0.2">
      <c r="B23" s="1">
        <v>17</v>
      </c>
      <c r="C23" s="5" t="s">
        <v>24</v>
      </c>
      <c r="D23" s="5">
        <v>1.0786</v>
      </c>
      <c r="E23" s="5">
        <v>0.672431</v>
      </c>
      <c r="F23" s="5">
        <v>0.290155</v>
      </c>
      <c r="G23" s="5">
        <v>0.51095599999999997</v>
      </c>
      <c r="H23" s="5">
        <v>0.445218</v>
      </c>
      <c r="I23" s="5">
        <v>0.30804500000000001</v>
      </c>
      <c r="J23" s="5">
        <v>0.33832299999999998</v>
      </c>
      <c r="K23" s="5">
        <v>0.225078</v>
      </c>
      <c r="L23" s="5">
        <v>0.1963</v>
      </c>
      <c r="M23" s="5">
        <v>7.7774200000000002E-2</v>
      </c>
      <c r="N23" s="5">
        <v>0.33732000000000001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x14ac:dyDescent="0.2">
      <c r="B24" s="1">
        <v>18</v>
      </c>
      <c r="C24" s="5" t="s">
        <v>24</v>
      </c>
      <c r="D24" s="5">
        <v>0.90129999999999999</v>
      </c>
      <c r="E24" s="5">
        <v>0.36614400000000002</v>
      </c>
      <c r="F24" s="5">
        <v>0.24471300000000001</v>
      </c>
      <c r="G24" s="5">
        <v>0.427508</v>
      </c>
      <c r="H24" s="5">
        <v>0.57329699999999995</v>
      </c>
      <c r="I24" s="5">
        <v>0.32605099999999998</v>
      </c>
      <c r="J24" s="5">
        <v>0.28487400000000002</v>
      </c>
      <c r="K24" s="5">
        <v>0.34898499999999999</v>
      </c>
      <c r="L24" s="5">
        <v>0.16667399999999999</v>
      </c>
      <c r="M24" s="5">
        <v>9.8429199999999994E-2</v>
      </c>
      <c r="N24" s="5">
        <v>0.35456483333333333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x14ac:dyDescent="0.2">
      <c r="B25" s="1">
        <v>19</v>
      </c>
      <c r="C25" s="5" t="s">
        <v>25</v>
      </c>
      <c r="D25" s="5">
        <v>1.2434499999999999</v>
      </c>
      <c r="E25" s="5">
        <v>0.69764700000000002</v>
      </c>
      <c r="F25" s="5">
        <v>0.25329400000000002</v>
      </c>
      <c r="G25" s="5">
        <v>0.70002500000000001</v>
      </c>
      <c r="H25" s="5">
        <v>0.59988799999999998</v>
      </c>
      <c r="I25" s="5">
        <v>0.66424899999999998</v>
      </c>
      <c r="J25" s="5">
        <v>0.44100899999999998</v>
      </c>
      <c r="K25" s="5">
        <v>0.77836899999999998</v>
      </c>
      <c r="L25" s="5">
        <v>0.23978099999999999</v>
      </c>
      <c r="M25" s="5">
        <v>5.6451899999999999E-2</v>
      </c>
      <c r="N25" s="5">
        <v>0.57055350000000005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x14ac:dyDescent="0.2">
      <c r="B26" s="1">
        <v>20</v>
      </c>
      <c r="C26" s="1" t="s">
        <v>25</v>
      </c>
      <c r="D26" s="1">
        <v>1.1131500000000001</v>
      </c>
      <c r="E26" s="1">
        <v>0.93604100000000001</v>
      </c>
      <c r="F26" s="1">
        <v>0.54833200000000004</v>
      </c>
      <c r="G26" s="1">
        <v>0.80710499999999996</v>
      </c>
      <c r="H26" s="1">
        <v>0.76466800000000001</v>
      </c>
      <c r="I26" s="1">
        <v>0.624525</v>
      </c>
      <c r="J26" s="1">
        <v>0.68654999999999999</v>
      </c>
      <c r="K26" s="1">
        <v>0.65062600000000004</v>
      </c>
      <c r="L26" s="1">
        <v>0.50407400000000002</v>
      </c>
      <c r="M26" s="1">
        <v>0.403082</v>
      </c>
      <c r="N26" s="1">
        <v>0.6729246666666665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 x14ac:dyDescent="0.2">
      <c r="B27" s="1">
        <v>21</v>
      </c>
      <c r="C27" s="1" t="s">
        <v>25</v>
      </c>
      <c r="D27" s="1">
        <v>0.86427299999999996</v>
      </c>
      <c r="E27" s="1">
        <v>0.55266599999999999</v>
      </c>
      <c r="F27" s="1">
        <v>0.20610700000000001</v>
      </c>
      <c r="G27" s="1">
        <v>0.47468100000000002</v>
      </c>
      <c r="H27" s="1">
        <v>0.42083900000000002</v>
      </c>
      <c r="I27" s="1">
        <v>0.37315599999999999</v>
      </c>
      <c r="J27" s="1">
        <v>0.23092599999999999</v>
      </c>
      <c r="K27" s="1">
        <v>0.29352699999999998</v>
      </c>
      <c r="L27" s="1">
        <v>0.20508899999999999</v>
      </c>
      <c r="M27" s="1">
        <v>7.1286699999999995E-2</v>
      </c>
      <c r="N27" s="1">
        <v>0.33303633333333332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 x14ac:dyDescent="0.2">
      <c r="B28" s="1">
        <v>22</v>
      </c>
      <c r="C28" s="1" t="s">
        <v>25</v>
      </c>
      <c r="D28" s="1">
        <v>1.1137699999999999</v>
      </c>
      <c r="E28" s="1">
        <v>0.74811099999999997</v>
      </c>
      <c r="F28" s="1">
        <v>0.29274899999999998</v>
      </c>
      <c r="G28" s="1">
        <v>0.62119500000000005</v>
      </c>
      <c r="H28" s="1">
        <v>0.55778700000000003</v>
      </c>
      <c r="I28" s="1">
        <v>0.50095299999999998</v>
      </c>
      <c r="J28" s="1">
        <v>0.45001000000000002</v>
      </c>
      <c r="K28" s="1">
        <v>0.40434599999999998</v>
      </c>
      <c r="L28" s="1">
        <v>0.29382900000000001</v>
      </c>
      <c r="M28" s="1">
        <v>0.104403</v>
      </c>
      <c r="N28" s="1">
        <v>0.47135333333333335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2:25" x14ac:dyDescent="0.2">
      <c r="B29" s="1">
        <v>23</v>
      </c>
      <c r="C29" s="1" t="s">
        <v>25</v>
      </c>
      <c r="D29" s="1">
        <v>0.80329099999999998</v>
      </c>
      <c r="E29" s="1">
        <v>0.68894999999999995</v>
      </c>
      <c r="F29" s="1">
        <v>0.17773900000000001</v>
      </c>
      <c r="G29" s="1">
        <v>0.441131</v>
      </c>
      <c r="H29" s="1">
        <v>0.38615899999999997</v>
      </c>
      <c r="I29" s="1">
        <v>0.308089</v>
      </c>
      <c r="J29" s="1">
        <v>0.226054</v>
      </c>
      <c r="K29" s="1">
        <v>0.259295</v>
      </c>
      <c r="L29" s="1">
        <v>0.174459</v>
      </c>
      <c r="M29" s="1">
        <v>0.11772000000000001</v>
      </c>
      <c r="N29" s="1">
        <v>0.29919783333333333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2:25" x14ac:dyDescent="0.2">
      <c r="B30" s="1">
        <v>24</v>
      </c>
      <c r="C30" s="1" t="s">
        <v>25</v>
      </c>
      <c r="D30" s="1">
        <v>0.91861400000000004</v>
      </c>
      <c r="E30" s="1">
        <v>0.63199099999999997</v>
      </c>
      <c r="F30" s="1">
        <v>0.38556099999999999</v>
      </c>
      <c r="G30" s="1">
        <v>0.45203300000000002</v>
      </c>
      <c r="H30" s="1">
        <v>0.40468300000000001</v>
      </c>
      <c r="I30" s="1">
        <v>0.46236899999999997</v>
      </c>
      <c r="J30" s="1">
        <v>0.32455600000000001</v>
      </c>
      <c r="K30" s="1">
        <v>0.59076300000000004</v>
      </c>
      <c r="L30" s="1">
        <v>0.20945</v>
      </c>
      <c r="M30" s="1">
        <v>9.8926200000000006E-2</v>
      </c>
      <c r="N30" s="1">
        <v>0.40730899999999998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x14ac:dyDescent="0.2">
      <c r="B31" s="1">
        <v>25</v>
      </c>
      <c r="C31" s="1" t="s">
        <v>25</v>
      </c>
      <c r="D31" s="1">
        <v>0.56900799999999996</v>
      </c>
      <c r="E31" s="1">
        <v>0.23697299999999999</v>
      </c>
      <c r="F31" s="1">
        <v>0.13563</v>
      </c>
      <c r="G31" s="1">
        <v>0.35164899999999999</v>
      </c>
      <c r="H31" s="1">
        <v>0.26353399999999999</v>
      </c>
      <c r="I31" s="1">
        <v>0.197598</v>
      </c>
      <c r="J31" s="1">
        <v>0.24825800000000001</v>
      </c>
      <c r="K31" s="1">
        <v>0.151336</v>
      </c>
      <c r="L31" s="1">
        <v>0.1047531</v>
      </c>
      <c r="M31" s="1">
        <v>8.0130199999999999E-2</v>
      </c>
      <c r="N31" s="1">
        <v>0.21952134999999998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x14ac:dyDescent="0.2">
      <c r="B32" s="1">
        <v>26</v>
      </c>
      <c r="C32" s="1" t="s">
        <v>25</v>
      </c>
      <c r="D32" s="1">
        <v>1.0786</v>
      </c>
      <c r="E32" s="1">
        <v>0.672431</v>
      </c>
      <c r="F32" s="1">
        <v>0.290155</v>
      </c>
      <c r="G32" s="1">
        <v>0.51095599999999997</v>
      </c>
      <c r="H32" s="1">
        <v>0.445218</v>
      </c>
      <c r="I32" s="1">
        <v>0.38804499999999997</v>
      </c>
      <c r="J32" s="1">
        <v>0.538323</v>
      </c>
      <c r="K32" s="1">
        <v>0.29507800000000001</v>
      </c>
      <c r="L32" s="1">
        <v>0.1963</v>
      </c>
      <c r="M32" s="1">
        <v>0.10083300000000001</v>
      </c>
      <c r="N32" s="1">
        <v>0.39565333333333336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2">
      <c r="B33" s="1">
        <v>27</v>
      </c>
      <c r="C33" s="1" t="s">
        <v>25</v>
      </c>
      <c r="D33" s="1">
        <v>0.90129999999999999</v>
      </c>
      <c r="E33" s="1">
        <v>0.56614399999999998</v>
      </c>
      <c r="F33" s="1">
        <v>0.24471300000000001</v>
      </c>
      <c r="G33" s="1">
        <v>0.427508</v>
      </c>
      <c r="H33" s="1">
        <v>0.73297000000000001</v>
      </c>
      <c r="I33" s="1">
        <v>0.32605099999999998</v>
      </c>
      <c r="J33" s="1">
        <v>0.28487400000000002</v>
      </c>
      <c r="K33" s="1">
        <v>0.24898500000000001</v>
      </c>
      <c r="L33" s="1">
        <v>0.19667399999999999</v>
      </c>
      <c r="M33" s="1">
        <v>2.0579799999999999E-2</v>
      </c>
      <c r="N33" s="1">
        <v>0.36951033333333333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2">
      <c r="B35" s="1"/>
      <c r="C35" s="1"/>
      <c r="D35" s="1">
        <v>-30</v>
      </c>
      <c r="E35" s="1">
        <v>-60</v>
      </c>
      <c r="F35" s="1">
        <v>0</v>
      </c>
      <c r="G35" s="1">
        <v>3</v>
      </c>
      <c r="H35" s="1">
        <v>6</v>
      </c>
      <c r="I35" s="1">
        <v>9</v>
      </c>
      <c r="J35" s="1">
        <v>12</v>
      </c>
      <c r="K35" s="1">
        <v>15</v>
      </c>
      <c r="L35" s="1">
        <v>20</v>
      </c>
      <c r="M35" s="1">
        <v>25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2">
      <c r="B36" s="1" t="s">
        <v>39</v>
      </c>
      <c r="C36" s="1" t="s">
        <v>23</v>
      </c>
      <c r="D36" s="1">
        <f>AVERAGE(D7:D15)</f>
        <v>0.90960544444444458</v>
      </c>
      <c r="E36" s="1">
        <f t="shared" ref="E36:M36" si="0">AVERAGE(E7:E15)</f>
        <v>0.59704211111111105</v>
      </c>
      <c r="F36" s="1">
        <f t="shared" si="0"/>
        <v>0.26342577777777776</v>
      </c>
      <c r="G36" s="1">
        <f t="shared" si="0"/>
        <v>0.24434400000000001</v>
      </c>
      <c r="H36" s="1">
        <f t="shared" si="0"/>
        <v>0.24506155555555559</v>
      </c>
      <c r="I36" s="1">
        <f t="shared" si="0"/>
        <v>0.19417666666666669</v>
      </c>
      <c r="J36" s="1">
        <f t="shared" si="0"/>
        <v>0.17742845555555556</v>
      </c>
      <c r="K36" s="1">
        <f t="shared" si="0"/>
        <v>0.16173124555555554</v>
      </c>
      <c r="L36" s="1">
        <f t="shared" si="0"/>
        <v>0.11072751111111111</v>
      </c>
      <c r="M36" s="1">
        <f t="shared" si="0"/>
        <v>7.3232844444444445E-2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2">
      <c r="B37" s="1" t="s">
        <v>22</v>
      </c>
      <c r="C37" s="1" t="s">
        <v>23</v>
      </c>
      <c r="D37" s="1">
        <f>STDEV(D7:D15)</f>
        <v>0.20259120778621531</v>
      </c>
      <c r="E37" s="1">
        <f t="shared" ref="E37:M37" si="1">STDEV(E7:E15)</f>
        <v>0.1939757566942612</v>
      </c>
      <c r="F37" s="1">
        <f t="shared" si="1"/>
        <v>0.10924552792537751</v>
      </c>
      <c r="G37" s="1">
        <f t="shared" si="1"/>
        <v>0.10805389523867255</v>
      </c>
      <c r="H37" s="1">
        <f t="shared" si="1"/>
        <v>0.11069446676111581</v>
      </c>
      <c r="I37" s="1">
        <f t="shared" si="1"/>
        <v>9.0544528653033446E-2</v>
      </c>
      <c r="J37" s="1">
        <f t="shared" si="1"/>
        <v>8.819243301705533E-2</v>
      </c>
      <c r="K37" s="1">
        <f t="shared" si="1"/>
        <v>0.10782100860462301</v>
      </c>
      <c r="L37" s="1">
        <f t="shared" si="1"/>
        <v>8.5216870678250151E-2</v>
      </c>
      <c r="M37" s="1">
        <f t="shared" si="1"/>
        <v>7.5747959016746955E-2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2">
      <c r="B39" s="1" t="s">
        <v>39</v>
      </c>
      <c r="C39" s="5" t="s">
        <v>24</v>
      </c>
      <c r="D39" s="1">
        <f>AVERAGE(D16:D24)</f>
        <v>0.95853088888888882</v>
      </c>
      <c r="E39" s="1">
        <f t="shared" ref="E39:M39" si="2">AVERAGE(E16:E24)</f>
        <v>0.59897244444444453</v>
      </c>
      <c r="F39" s="1">
        <f t="shared" si="2"/>
        <v>0.27111566666666664</v>
      </c>
      <c r="G39" s="1">
        <f t="shared" si="2"/>
        <v>0.45659466666666682</v>
      </c>
      <c r="H39" s="1">
        <f t="shared" si="2"/>
        <v>0.42591566666666669</v>
      </c>
      <c r="I39" s="1">
        <f t="shared" si="2"/>
        <v>0.36273877777777774</v>
      </c>
      <c r="J39" s="1">
        <f t="shared" si="2"/>
        <v>0.28118955555555553</v>
      </c>
      <c r="K39" s="1">
        <f t="shared" si="2"/>
        <v>0.23988022222222222</v>
      </c>
      <c r="L39" s="1">
        <f t="shared" si="2"/>
        <v>0.19089189999999998</v>
      </c>
      <c r="M39" s="1">
        <f t="shared" si="2"/>
        <v>0.11846785111111112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2">
      <c r="B40" s="1" t="s">
        <v>22</v>
      </c>
      <c r="C40" s="5" t="s">
        <v>24</v>
      </c>
      <c r="D40" s="1">
        <f>STDEV(D16:D24)</f>
        <v>0.21872965778755532</v>
      </c>
      <c r="E40" s="1">
        <f t="shared" ref="E40:M40" si="3">STDEV(E16:E24)</f>
        <v>0.25309631397459681</v>
      </c>
      <c r="F40" s="1">
        <f t="shared" si="3"/>
        <v>0.13004644290406406</v>
      </c>
      <c r="G40" s="1">
        <f t="shared" si="3"/>
        <v>0.12288649584067336</v>
      </c>
      <c r="H40" s="1">
        <f t="shared" si="3"/>
        <v>0.14010616443879276</v>
      </c>
      <c r="I40" s="1">
        <f t="shared" si="3"/>
        <v>0.13187753309204897</v>
      </c>
      <c r="J40" s="1">
        <f t="shared" si="3"/>
        <v>7.8287514849289974E-2</v>
      </c>
      <c r="K40" s="1">
        <f t="shared" si="3"/>
        <v>0.15223563109845353</v>
      </c>
      <c r="L40" s="1">
        <f t="shared" si="3"/>
        <v>0.12018339139993517</v>
      </c>
      <c r="M40" s="1">
        <f t="shared" si="3"/>
        <v>8.4649615299176126E-2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2">
      <c r="B42" s="1" t="s">
        <v>39</v>
      </c>
      <c r="C42" s="1" t="s">
        <v>25</v>
      </c>
      <c r="D42" s="1">
        <f>AVERAGE(D25:D33)</f>
        <v>0.95616177777777778</v>
      </c>
      <c r="E42" s="1">
        <f t="shared" ref="E42:M42" si="4">AVERAGE(E25:E33)</f>
        <v>0.63677266666666676</v>
      </c>
      <c r="F42" s="1">
        <f t="shared" si="4"/>
        <v>0.28158666666666665</v>
      </c>
      <c r="G42" s="1">
        <f t="shared" si="4"/>
        <v>0.53180922222222238</v>
      </c>
      <c r="H42" s="1">
        <f t="shared" si="4"/>
        <v>0.50841622222222216</v>
      </c>
      <c r="I42" s="1">
        <f t="shared" si="4"/>
        <v>0.42722611111111108</v>
      </c>
      <c r="J42" s="1">
        <f t="shared" si="4"/>
        <v>0.38117333333333331</v>
      </c>
      <c r="K42" s="1">
        <f t="shared" si="4"/>
        <v>0.4080361111111111</v>
      </c>
      <c r="L42" s="1">
        <f t="shared" si="4"/>
        <v>0.23604545555555553</v>
      </c>
      <c r="M42" s="1">
        <f t="shared" si="4"/>
        <v>0.11704586666666666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2">
      <c r="B43" s="1" t="s">
        <v>22</v>
      </c>
      <c r="C43" s="1" t="s">
        <v>25</v>
      </c>
      <c r="D43" s="1">
        <f>STDEV(D25:D33)</f>
        <v>0.20406249490706108</v>
      </c>
      <c r="E43" s="1">
        <f t="shared" ref="E43:M43" si="5">STDEV(E25:E33)</f>
        <v>0.18761077156242897</v>
      </c>
      <c r="F43" s="1">
        <f t="shared" si="5"/>
        <v>0.12354490967154425</v>
      </c>
      <c r="G43" s="1">
        <f t="shared" si="5"/>
        <v>0.14734986313259427</v>
      </c>
      <c r="H43" s="1">
        <f t="shared" si="5"/>
        <v>0.16741879757047734</v>
      </c>
      <c r="I43" s="1">
        <f t="shared" si="5"/>
        <v>0.15140807373902204</v>
      </c>
      <c r="J43" s="1">
        <f t="shared" si="5"/>
        <v>0.15931555109985346</v>
      </c>
      <c r="K43" s="1">
        <f t="shared" si="5"/>
        <v>0.21464710228212053</v>
      </c>
      <c r="L43" s="1">
        <f t="shared" si="5"/>
        <v>0.11237114855454573</v>
      </c>
      <c r="M43" s="1">
        <f t="shared" si="5"/>
        <v>0.11124418190699907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concentraciones xylacina</vt:lpstr>
      <vt:lpstr>concentraciones al mismo tiempo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juanma serrano</dc:creator>
  <cp:lastModifiedBy>Francisco Medina Bautista</cp:lastModifiedBy>
  <dcterms:created xsi:type="dcterms:W3CDTF">2026-02-17T21:49:40Z</dcterms:created>
  <dcterms:modified xsi:type="dcterms:W3CDTF">2026-06-25T01:07:33Z</dcterms:modified>
</cp:coreProperties>
</file>